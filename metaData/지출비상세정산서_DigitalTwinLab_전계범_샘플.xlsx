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\지출결산\2026\04\"/>
    </mc:Choice>
  </mc:AlternateContent>
  <xr:revisionPtr revIDLastSave="0" documentId="13_ncr:1_{4E2ED27B-A892-41F2-AE1D-3007F228E385}" xr6:coauthVersionLast="47" xr6:coauthVersionMax="47" xr10:uidLastSave="{00000000-0000-0000-0000-000000000000}"/>
  <bookViews>
    <workbookView xWindow="-28920" yWindow="-120" windowWidth="29040" windowHeight="15720" tabRatio="699" firstSheet="1" activeTab="1" xr2:uid="{00000000-000D-0000-FFFF-FFFF00000000}"/>
  </bookViews>
  <sheets>
    <sheet name="개정이력" sheetId="41" r:id="rId1"/>
    <sheet name="첨부1.실행예산상세정산" sheetId="28" r:id="rId2"/>
    <sheet name="2-3.차량유지비청구서" sheetId="42" r:id="rId3"/>
    <sheet name="8.설명자료" sheetId="38" r:id="rId4"/>
  </sheets>
  <definedNames>
    <definedName name="_xlnm._FilterDatabase" localSheetId="1" hidden="1">'첨부1.실행예산상세정산'!$B$8:$O$58</definedName>
    <definedName name="_xlnm.Print_Area" localSheetId="2">'2-3.차량유지비청구서'!$A$1:$L$31</definedName>
    <definedName name="_xlnm.Print_Area" localSheetId="3">'8.설명자료'!$A$1:$L$59</definedName>
    <definedName name="_xlnm.Print_Area" localSheetId="0">개정이력!$A$1:$H$15</definedName>
    <definedName name="_xlnm.Print_Area" localSheetId="1">'첨부1.실행예산상세정산'!$B$2:$H$86</definedName>
    <definedName name="_xlnm.Print_Titles" localSheetId="0">개정이력!$2:$4</definedName>
    <definedName name="_xlnm.Print_Titles" localSheetId="1">'첨부1.실행예산상세정산'!$8:$8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8" i="28" l="1"/>
  <c r="D21" i="28"/>
  <c r="D20" i="28"/>
  <c r="D19" i="28"/>
  <c r="D18" i="28"/>
  <c r="D17" i="28"/>
  <c r="D16" i="28"/>
  <c r="D15" i="28"/>
  <c r="D13" i="28" l="1"/>
  <c r="D14" i="28"/>
  <c r="D12" i="28"/>
  <c r="D11" i="28"/>
  <c r="D10" i="28"/>
  <c r="D9" i="28"/>
  <c r="K26" i="42" l="1"/>
  <c r="K28" i="42" s="1"/>
  <c r="N12" i="28" l="1"/>
  <c r="N59" i="28" l="1"/>
  <c r="N43" i="28"/>
  <c r="N62" i="28"/>
  <c r="N46" i="28"/>
  <c r="N65" i="28"/>
  <c r="N49" i="28"/>
  <c r="N68" i="28"/>
  <c r="N52" i="28"/>
  <c r="N44" i="28"/>
  <c r="N55" i="28"/>
  <c r="N39" i="28"/>
  <c r="N58" i="28"/>
  <c r="N42" i="28"/>
  <c r="N61" i="28"/>
  <c r="N45" i="28"/>
  <c r="N64" i="28"/>
  <c r="N48" i="28"/>
  <c r="N63" i="28"/>
  <c r="N51" i="28"/>
  <c r="N70" i="28"/>
  <c r="N54" i="28"/>
  <c r="N38" i="28"/>
  <c r="N57" i="28"/>
  <c r="N41" i="28"/>
  <c r="N60" i="28"/>
  <c r="N47" i="28"/>
  <c r="N66" i="28"/>
  <c r="N50" i="28"/>
  <c r="N69" i="28"/>
  <c r="N53" i="28"/>
  <c r="N37" i="28"/>
  <c r="N56" i="28"/>
  <c r="N40" i="28"/>
  <c r="N36" i="28"/>
  <c r="N73" i="28"/>
  <c r="N72" i="28"/>
  <c r="N71" i="28"/>
  <c r="N31" i="28" l="1"/>
  <c r="N9" i="28"/>
  <c r="N11" i="28"/>
  <c r="N13" i="28"/>
  <c r="N15" i="28"/>
  <c r="N17" i="28"/>
  <c r="N19" i="28"/>
  <c r="N21" i="28"/>
  <c r="N23" i="28"/>
  <c r="N25" i="28"/>
  <c r="N27" i="28"/>
  <c r="N29" i="28"/>
  <c r="N33" i="28"/>
  <c r="N35" i="28"/>
  <c r="N75" i="28"/>
  <c r="N30" i="28"/>
  <c r="N10" i="28"/>
  <c r="N14" i="28"/>
  <c r="N16" i="28"/>
  <c r="N20" i="28"/>
  <c r="N22" i="28"/>
  <c r="N24" i="28"/>
  <c r="N26" i="28"/>
  <c r="N28" i="28"/>
  <c r="N32" i="28"/>
  <c r="N34" i="28"/>
  <c r="N74" i="28"/>
  <c r="N76" i="28"/>
  <c r="N77" i="28" l="1"/>
  <c r="E86" i="28"/>
</calcChain>
</file>

<file path=xl/sharedStrings.xml><?xml version="1.0" encoding="utf-8"?>
<sst xmlns="http://schemas.openxmlformats.org/spreadsheetml/2006/main" count="495" uniqueCount="355">
  <si>
    <t>합계</t>
    <phoneticPr fontId="30" type="noConversion"/>
  </si>
  <si>
    <t>외주비</t>
    <phoneticPr fontId="30" type="noConversion"/>
  </si>
  <si>
    <t>프로젝트명</t>
    <phoneticPr fontId="37" type="noConversion"/>
  </si>
  <si>
    <t>프로젝트팀원</t>
    <phoneticPr fontId="37" type="noConversion"/>
  </si>
  <si>
    <t>일자</t>
    <phoneticPr fontId="37" type="noConversion"/>
  </si>
  <si>
    <t>계정no</t>
    <phoneticPr fontId="37" type="noConversion"/>
  </si>
  <si>
    <t>계정</t>
    <phoneticPr fontId="37" type="noConversion"/>
  </si>
  <si>
    <t>사용금액</t>
    <phoneticPr fontId="37" type="noConversion"/>
  </si>
  <si>
    <t>목적</t>
    <phoneticPr fontId="37" type="noConversion"/>
  </si>
  <si>
    <t>참석(대상)자</t>
    <phoneticPr fontId="37" type="noConversion"/>
  </si>
  <si>
    <t>사용자</t>
    <phoneticPr fontId="37" type="noConversion"/>
  </si>
  <si>
    <t>이 아래로는 작성하지 마세요. 부족시 위에서 삽입하여 작성하세요</t>
    <phoneticPr fontId="37" type="noConversion"/>
  </si>
  <si>
    <t>세목</t>
    <phoneticPr fontId="30" type="noConversion"/>
  </si>
  <si>
    <t>지급수수료</t>
    <phoneticPr fontId="30" type="noConversion"/>
  </si>
  <si>
    <t>계정NO</t>
    <phoneticPr fontId="37" type="noConversion"/>
  </si>
  <si>
    <t>적용비목</t>
    <phoneticPr fontId="39" type="noConversion"/>
  </si>
  <si>
    <t>합계</t>
    <phoneticPr fontId="37" type="noConversion"/>
  </si>
  <si>
    <t>비목</t>
    <phoneticPr fontId="39" type="noConversion"/>
  </si>
  <si>
    <t>회의비</t>
    <phoneticPr fontId="30" type="noConversion"/>
  </si>
  <si>
    <t>잡비</t>
    <phoneticPr fontId="30" type="noConversion"/>
  </si>
  <si>
    <t>여비교통비</t>
    <phoneticPr fontId="30" type="noConversion"/>
  </si>
  <si>
    <t>운영비</t>
    <phoneticPr fontId="30" type="noConversion"/>
  </si>
  <si>
    <t>제안비용</t>
    <phoneticPr fontId="30" type="noConversion"/>
  </si>
  <si>
    <t>재료비</t>
  </si>
  <si>
    <t>계약직</t>
  </si>
  <si>
    <t>하도급</t>
  </si>
  <si>
    <t>직급</t>
    <phoneticPr fontId="30" type="noConversion"/>
  </si>
  <si>
    <t>월평균단가</t>
    <phoneticPr fontId="30" type="noConversion"/>
  </si>
  <si>
    <t>비고</t>
    <phoneticPr fontId="30" type="noConversion"/>
  </si>
  <si>
    <t>보험료 구분</t>
    <phoneticPr fontId="30" type="noConversion"/>
  </si>
  <si>
    <t>연이율</t>
    <phoneticPr fontId="30" type="noConversion"/>
  </si>
  <si>
    <t>산정공식</t>
    <phoneticPr fontId="30" type="noConversion"/>
  </si>
  <si>
    <t>임원</t>
    <phoneticPr fontId="30" type="noConversion"/>
  </si>
  <si>
    <t>계약이행보증증권</t>
    <phoneticPr fontId="30" type="noConversion"/>
  </si>
  <si>
    <t>(소프트웨어공제조합)</t>
    <phoneticPr fontId="30" type="noConversion"/>
  </si>
  <si>
    <t xml:space="preserve">계약보증금액(통상 계약금액의 15%) * 연이율 * 계약기간(사업일수/365) </t>
    <phoneticPr fontId="30" type="noConversion"/>
  </si>
  <si>
    <t>부장</t>
    <phoneticPr fontId="30" type="noConversion"/>
  </si>
  <si>
    <t>인지세</t>
    <phoneticPr fontId="30" type="noConversion"/>
  </si>
  <si>
    <t>1천만원 이하 :</t>
    <phoneticPr fontId="30" type="noConversion"/>
  </si>
  <si>
    <t>면제</t>
    <phoneticPr fontId="30" type="noConversion"/>
  </si>
  <si>
    <t>1천만원~3천만원 :</t>
    <phoneticPr fontId="30" type="noConversion"/>
  </si>
  <si>
    <t>2만원</t>
    <phoneticPr fontId="30" type="noConversion"/>
  </si>
  <si>
    <t>3천만원~5천만원 :</t>
    <phoneticPr fontId="30" type="noConversion"/>
  </si>
  <si>
    <t>4만원</t>
    <phoneticPr fontId="30" type="noConversion"/>
  </si>
  <si>
    <t>차장</t>
    <phoneticPr fontId="30" type="noConversion"/>
  </si>
  <si>
    <t>(자사지분기준)</t>
    <phoneticPr fontId="30" type="noConversion"/>
  </si>
  <si>
    <t>5천만원~1억원 :</t>
    <phoneticPr fontId="30" type="noConversion"/>
  </si>
  <si>
    <t>7만원</t>
    <phoneticPr fontId="30" type="noConversion"/>
  </si>
  <si>
    <t xml:space="preserve">1억원 초과 : </t>
    <phoneticPr fontId="30" type="noConversion"/>
  </si>
  <si>
    <t>15만원</t>
    <phoneticPr fontId="30" type="noConversion"/>
  </si>
  <si>
    <t>10억원 초과 :</t>
    <phoneticPr fontId="30" type="noConversion"/>
  </si>
  <si>
    <t>35만원</t>
    <phoneticPr fontId="30" type="noConversion"/>
  </si>
  <si>
    <t>과장</t>
    <phoneticPr fontId="30" type="noConversion"/>
  </si>
  <si>
    <t>선금보증증권</t>
    <phoneticPr fontId="30" type="noConversion"/>
  </si>
  <si>
    <t>(서울보증보험)</t>
    <phoneticPr fontId="30" type="noConversion"/>
  </si>
  <si>
    <t>선금요청금액 * 연이율 * ((잔여 사업기간+60)/365)</t>
    <phoneticPr fontId="30" type="noConversion"/>
  </si>
  <si>
    <t>대리</t>
    <phoneticPr fontId="30" type="noConversion"/>
  </si>
  <si>
    <t>하자보증증권</t>
    <phoneticPr fontId="30" type="noConversion"/>
  </si>
  <si>
    <t>하자보증금액(통상 계약금액의 2%) * 연이율 * 하자보수기간(통상 365일)</t>
    <phoneticPr fontId="30" type="noConversion"/>
  </si>
  <si>
    <t>사원</t>
    <phoneticPr fontId="30" type="noConversion"/>
  </si>
  <si>
    <t>지역개발공채</t>
    <phoneticPr fontId="30" type="noConversion"/>
  </si>
  <si>
    <t>지방자치단체 사업 대금청구시 (계약금액 * 2.5% * 즉시매도율(일단위 변동, 통상 12% 내외)</t>
    <phoneticPr fontId="30" type="noConversion"/>
  </si>
  <si>
    <t>수행역활</t>
    <phoneticPr fontId="30" type="noConversion"/>
  </si>
  <si>
    <t>설명</t>
    <phoneticPr fontId="30" type="noConversion"/>
  </si>
  <si>
    <t>PM</t>
    <phoneticPr fontId="30" type="noConversion"/>
  </si>
  <si>
    <t>(Project Manager) 프로젝트 관리자</t>
    <phoneticPr fontId="30" type="noConversion"/>
  </si>
  <si>
    <t>사업관리</t>
    <phoneticPr fontId="30" type="noConversion"/>
  </si>
  <si>
    <t>품질관리</t>
    <phoneticPr fontId="30" type="noConversion"/>
  </si>
  <si>
    <t>BA</t>
    <phoneticPr fontId="30" type="noConversion"/>
  </si>
  <si>
    <t>사업기획</t>
    <phoneticPr fontId="30" type="noConversion"/>
  </si>
  <si>
    <t>QA</t>
    <phoneticPr fontId="30" type="noConversion"/>
  </si>
  <si>
    <t xml:space="preserve"> 디자인, 웹기획, 퍼블리셔</t>
    <phoneticPr fontId="30" type="noConversion"/>
  </si>
  <si>
    <t>그래픽 디자인, 웹기획, 퍼블리셔</t>
    <phoneticPr fontId="30" type="noConversion"/>
  </si>
  <si>
    <t>제안</t>
    <phoneticPr fontId="30" type="noConversion"/>
  </si>
  <si>
    <t>제안투입 인력</t>
    <phoneticPr fontId="30" type="noConversion"/>
  </si>
  <si>
    <t>항목</t>
    <phoneticPr fontId="30" type="noConversion"/>
  </si>
  <si>
    <t>비목</t>
    <phoneticPr fontId="30" type="noConversion"/>
  </si>
  <si>
    <t>내용</t>
    <phoneticPr fontId="37" type="noConversion"/>
  </si>
  <si>
    <t>인건비</t>
    <phoneticPr fontId="37" type="noConversion"/>
  </si>
  <si>
    <t>인건비</t>
    <phoneticPr fontId="30" type="noConversion"/>
  </si>
  <si>
    <t>자사 투입인력 인건비</t>
    <phoneticPr fontId="37" type="noConversion"/>
  </si>
  <si>
    <t>접대비</t>
    <phoneticPr fontId="30" type="noConversion"/>
  </si>
  <si>
    <t>복리후생비</t>
    <phoneticPr fontId="30" type="noConversion"/>
  </si>
  <si>
    <t>간식</t>
    <phoneticPr fontId="30" type="noConversion"/>
  </si>
  <si>
    <t>회식</t>
    <phoneticPr fontId="30" type="noConversion"/>
  </si>
  <si>
    <t>20,000원* M/M</t>
    <phoneticPr fontId="37" type="noConversion"/>
  </si>
  <si>
    <t>차량유지비</t>
    <phoneticPr fontId="30" type="noConversion"/>
  </si>
  <si>
    <t>통신비</t>
    <phoneticPr fontId="30" type="noConversion"/>
  </si>
  <si>
    <t>장비임차료</t>
    <phoneticPr fontId="30" type="noConversion"/>
  </si>
  <si>
    <t>비통제
/기타</t>
    <phoneticPr fontId="30" type="noConversion"/>
  </si>
  <si>
    <t>보험료</t>
    <phoneticPr fontId="30" type="noConversion"/>
  </si>
  <si>
    <t>계약이행, 선금보증, 하자보증 보험료</t>
    <phoneticPr fontId="37" type="noConversion"/>
  </si>
  <si>
    <t>보증금(이자비용)</t>
    <phoneticPr fontId="30" type="noConversion"/>
  </si>
  <si>
    <t>외주비</t>
    <phoneticPr fontId="37" type="noConversion"/>
  </si>
  <si>
    <t>계약직</t>
    <phoneticPr fontId="30" type="noConversion"/>
  </si>
  <si>
    <t>인력</t>
    <phoneticPr fontId="37" type="noConversion"/>
  </si>
  <si>
    <t>계약직 채용의 경우</t>
    <phoneticPr fontId="37" type="noConversion"/>
  </si>
  <si>
    <t>하도급</t>
    <phoneticPr fontId="30" type="noConversion"/>
  </si>
  <si>
    <t>업체</t>
    <phoneticPr fontId="37" type="noConversion"/>
  </si>
  <si>
    <t>업체간 용역계약체결의 경우, (단, 단순인력파견의 경우 "인력"에 해당)</t>
    <phoneticPr fontId="37" type="noConversion"/>
  </si>
  <si>
    <t>재료비</t>
    <phoneticPr fontId="30" type="noConversion"/>
  </si>
  <si>
    <t>등급</t>
    <phoneticPr fontId="39" type="noConversion"/>
  </si>
  <si>
    <t>제안비용(제안 인력 : 품질관리팀 문의, GD, 제안서 출력비용 포함)</t>
    <phoneticPr fontId="37" type="noConversion"/>
  </si>
  <si>
    <t>업무와 관련하여 거래처에 접대, 선물기증 등 접대행위</t>
  </si>
  <si>
    <t>20,000원* M/M</t>
  </si>
  <si>
    <t>일반 전화/전용선, 행망전용선(서울시내 : 80만원/월, 경기도 : 150만원/월)</t>
  </si>
  <si>
    <t>계약이행, 선금보증, 하자보증 보험료</t>
  </si>
  <si>
    <t>계약직 채용의 경우</t>
    <phoneticPr fontId="30" type="noConversion"/>
  </si>
  <si>
    <t>업체간 용역계약체결의 경우, (단, 단순인력파견의 경우 "인력"에 해당)</t>
    <phoneticPr fontId="30" type="noConversion"/>
  </si>
  <si>
    <t>HW, SW 등 제품 및 솔루션 구매</t>
    <phoneticPr fontId="30" type="noConversion"/>
  </si>
  <si>
    <t>복합기</t>
    <phoneticPr fontId="30" type="noConversion"/>
  </si>
  <si>
    <t>개 정 이 력</t>
  </si>
  <si>
    <t>No</t>
  </si>
  <si>
    <t>버전</t>
  </si>
  <si>
    <t>변경일</t>
  </si>
  <si>
    <t>변경 내용</t>
    <phoneticPr fontId="39" type="noConversion"/>
  </si>
  <si>
    <t>작성자</t>
  </si>
  <si>
    <t>승인자</t>
  </si>
  <si>
    <t>- 최초작성</t>
    <phoneticPr fontId="30" type="noConversion"/>
  </si>
  <si>
    <t>강승표</t>
    <phoneticPr fontId="39" type="noConversion"/>
  </si>
  <si>
    <t>- "첨부2-4.차량유지비청구서"시트 추가
- "첨부2-1.인건비_총괄내역"시트의 소득구분 세분화
  (일용근로/사업소득/기타소득/근로소득) 및 설명추가</t>
    <phoneticPr fontId="30" type="noConversion"/>
  </si>
  <si>
    <r>
      <rPr>
        <b/>
        <sz val="11"/>
        <color rgb="FFFF0000"/>
        <rFont val="Yoon 윤명조 520_TT"/>
        <family val="1"/>
        <charset val="129"/>
      </rPr>
      <t>※</t>
    </r>
    <r>
      <rPr>
        <b/>
        <sz val="11"/>
        <color rgb="FFFF0000"/>
        <rFont val="맑은 고딕"/>
        <family val="3"/>
        <charset val="129"/>
      </rPr>
      <t xml:space="preserve"> </t>
    </r>
    <r>
      <rPr>
        <b/>
        <sz val="11"/>
        <color rgb="FFFF0000"/>
        <rFont val="맑은 고딕"/>
        <family val="3"/>
        <charset val="129"/>
        <scheme val="major"/>
      </rPr>
      <t>실제 사용시 "개정이력"시트는 삭제 활용</t>
    </r>
    <phoneticPr fontId="30" type="noConversion"/>
  </si>
  <si>
    <t>강승표</t>
    <phoneticPr fontId="30" type="noConversion"/>
  </si>
  <si>
    <r>
      <rPr>
        <sz val="10"/>
        <rFont val="나눔고딕"/>
        <family val="3"/>
        <charset val="129"/>
      </rPr>
      <t>-</t>
    </r>
    <r>
      <rPr>
        <sz val="10"/>
        <rFont val="맑은 고딕"/>
        <family val="3"/>
        <charset val="129"/>
        <scheme val="major"/>
      </rPr>
      <t xml:space="preserve">"첨부2-1.인건비_총괄내역" 中
  </t>
    </r>
    <r>
      <rPr>
        <sz val="10"/>
        <rFont val="맑은 고딕"/>
        <family val="3"/>
        <charset val="129"/>
      </rPr>
      <t xml:space="preserve">• </t>
    </r>
    <r>
      <rPr>
        <sz val="10"/>
        <rFont val="맑은 고딕"/>
        <family val="3"/>
        <charset val="129"/>
        <scheme val="major"/>
      </rPr>
      <t>소득구분 항목에 대하여 데이터 유효성 검사,
    제한대상(목록) 적용
  • 자사부담보험료 항목 추가 (청구액의 10%)
    작업진행(%) 막대그래프로 시각화
'-"첨부1.실행예산정산" 中
  • 공통비-직접입력에 대한 색상강조,
    계정항목에 대해 허용된 값 이외의 값 입력방지</t>
    </r>
    <phoneticPr fontId="30" type="noConversion"/>
  </si>
  <si>
    <t>김영수</t>
    <phoneticPr fontId="30" type="noConversion"/>
  </si>
  <si>
    <t>-"수당지급"시트 신설</t>
    <phoneticPr fontId="30" type="noConversion"/>
  </si>
  <si>
    <t>프로젝트 코드</t>
    <phoneticPr fontId="30" type="noConversion"/>
  </si>
  <si>
    <t>-첨부1.실행예산상세정산 시트 내 프로젝트 코드 기입란 추가</t>
    <phoneticPr fontId="30" type="noConversion"/>
  </si>
  <si>
    <r>
      <t xml:space="preserve">- "기타 회식" </t>
    </r>
    <r>
      <rPr>
        <sz val="10"/>
        <rFont val="맑은 고딕"/>
        <family val="3"/>
        <charset val="129"/>
      </rPr>
      <t>→</t>
    </r>
    <r>
      <rPr>
        <sz val="10"/>
        <rFont val="맑은 고딕"/>
        <family val="3"/>
        <charset val="129"/>
        <scheme val="major"/>
      </rPr>
      <t xml:space="preserve"> "기타 행사"로 세목명칭 오류정정</t>
    </r>
    <phoneticPr fontId="30" type="noConversion"/>
  </si>
  <si>
    <t>계획,집행기간 변경(2015년→2016년)</t>
    <phoneticPr fontId="30" type="noConversion"/>
  </si>
  <si>
    <t>김동기</t>
    <phoneticPr fontId="30" type="noConversion"/>
  </si>
  <si>
    <t>계획,집행기간 변경(2016년→2017년)
"9.설명자료" 인건비 변경</t>
    <phoneticPr fontId="30" type="noConversion"/>
  </si>
  <si>
    <t>석식</t>
    <phoneticPr fontId="30" type="noConversion"/>
  </si>
  <si>
    <t>등급별금액(S_20만원,A_15만원,B_10만원,C_5만원,D_없음)*수행기간</t>
    <phoneticPr fontId="37" type="noConversion"/>
  </si>
  <si>
    <t>8. 설명자료</t>
    <phoneticPr fontId="79" type="noConversion"/>
  </si>
  <si>
    <t>PL</t>
    <phoneticPr fontId="30" type="noConversion"/>
  </si>
  <si>
    <t>Project Leader</t>
    <phoneticPr fontId="30" type="noConversion"/>
  </si>
  <si>
    <t>SW 개발</t>
    <phoneticPr fontId="30" type="noConversion"/>
  </si>
  <si>
    <t>SW 개발인력</t>
    <phoneticPr fontId="37" type="noConversion"/>
  </si>
  <si>
    <t>육상 DB</t>
    <phoneticPr fontId="30" type="noConversion"/>
  </si>
  <si>
    <t>육상 DB인력</t>
    <phoneticPr fontId="37" type="noConversion"/>
  </si>
  <si>
    <t>해양 DB</t>
    <phoneticPr fontId="30" type="noConversion"/>
  </si>
  <si>
    <t>해양 DB인력</t>
    <phoneticPr fontId="37" type="noConversion"/>
  </si>
  <si>
    <t>전사품질관리</t>
    <phoneticPr fontId="30" type="noConversion"/>
  </si>
  <si>
    <t>요식성 경비</t>
    <phoneticPr fontId="30" type="noConversion"/>
  </si>
  <si>
    <t>조식</t>
    <phoneticPr fontId="30" type="noConversion"/>
  </si>
  <si>
    <t>출장 근무에 따른 아침 식대</t>
    <phoneticPr fontId="37" type="noConversion"/>
  </si>
  <si>
    <t>야간 근무 시 식대</t>
    <phoneticPr fontId="37" type="noConversion"/>
  </si>
  <si>
    <t>휴일</t>
    <phoneticPr fontId="30" type="noConversion"/>
  </si>
  <si>
    <t>휴일 근무 시 식대</t>
    <phoneticPr fontId="37" type="noConversion"/>
  </si>
  <si>
    <t>국토/해양 현장업무 수행 시 1일당 2천원</t>
    <phoneticPr fontId="37" type="noConversion"/>
  </si>
  <si>
    <t>경조</t>
    <phoneticPr fontId="30" type="noConversion"/>
  </si>
  <si>
    <t>식대</t>
    <phoneticPr fontId="30" type="noConversion"/>
  </si>
  <si>
    <t>선물</t>
    <phoneticPr fontId="30" type="noConversion"/>
  </si>
  <si>
    <t>회의실사용료</t>
    <phoneticPr fontId="30" type="noConversion"/>
  </si>
  <si>
    <t>회의식대</t>
    <phoneticPr fontId="30" type="noConversion"/>
  </si>
  <si>
    <t>회의음료</t>
    <phoneticPr fontId="30" type="noConversion"/>
  </si>
  <si>
    <t>물품구매</t>
    <phoneticPr fontId="30" type="noConversion"/>
  </si>
  <si>
    <t>교통비</t>
    <phoneticPr fontId="30" type="noConversion"/>
  </si>
  <si>
    <t>숙박</t>
    <phoneticPr fontId="30" type="noConversion"/>
  </si>
  <si>
    <t>항공</t>
    <phoneticPr fontId="30" type="noConversion"/>
  </si>
  <si>
    <t>여객선</t>
    <phoneticPr fontId="30" type="noConversion"/>
  </si>
  <si>
    <t>철도</t>
    <phoneticPr fontId="30" type="noConversion"/>
  </si>
  <si>
    <t>버스</t>
    <phoneticPr fontId="30" type="noConversion"/>
  </si>
  <si>
    <t>택시</t>
    <phoneticPr fontId="30" type="noConversion"/>
  </si>
  <si>
    <t>지하철</t>
    <phoneticPr fontId="30" type="noConversion"/>
  </si>
  <si>
    <t>자가차량</t>
    <phoneticPr fontId="30" type="noConversion"/>
  </si>
  <si>
    <t>차량주유비</t>
    <phoneticPr fontId="30" type="noConversion"/>
  </si>
  <si>
    <t>선박주유비</t>
    <phoneticPr fontId="30" type="noConversion"/>
  </si>
  <si>
    <t>통행료</t>
    <phoneticPr fontId="30" type="noConversion"/>
  </si>
  <si>
    <t>수리비</t>
    <phoneticPr fontId="30" type="noConversion"/>
  </si>
  <si>
    <t>주차비</t>
    <phoneticPr fontId="30" type="noConversion"/>
  </si>
  <si>
    <t>차량렌탈료</t>
    <phoneticPr fontId="30" type="noConversion"/>
  </si>
  <si>
    <t>운영유지비</t>
    <phoneticPr fontId="30" type="noConversion"/>
  </si>
  <si>
    <t>인터넷</t>
    <phoneticPr fontId="30" type="noConversion"/>
  </si>
  <si>
    <t>전화</t>
    <phoneticPr fontId="30" type="noConversion"/>
  </si>
  <si>
    <t>우편</t>
    <phoneticPr fontId="30" type="noConversion"/>
  </si>
  <si>
    <t>수도광열비</t>
    <phoneticPr fontId="30" type="noConversion"/>
  </si>
  <si>
    <t>전력</t>
    <phoneticPr fontId="30" type="noConversion"/>
  </si>
  <si>
    <t>가스수도</t>
    <phoneticPr fontId="30" type="noConversion"/>
  </si>
  <si>
    <t>지급임차료</t>
    <phoneticPr fontId="30" type="noConversion"/>
  </si>
  <si>
    <t>사무실임차료</t>
    <phoneticPr fontId="30" type="noConversion"/>
  </si>
  <si>
    <t>외부 사업장 구성 시</t>
  </si>
  <si>
    <t>선박용선료</t>
    <phoneticPr fontId="30" type="noConversion"/>
  </si>
  <si>
    <t>외부업체 이용 시</t>
  </si>
  <si>
    <t>기타임차료</t>
    <phoneticPr fontId="30" type="noConversion"/>
  </si>
  <si>
    <t>공기청정기, 정수기, 비데</t>
    <phoneticPr fontId="30" type="noConversion"/>
  </si>
  <si>
    <t>도서인쇄비</t>
    <phoneticPr fontId="30" type="noConversion"/>
  </si>
  <si>
    <t>도서구입</t>
    <phoneticPr fontId="30" type="noConversion"/>
  </si>
  <si>
    <t>인쇄비</t>
    <phoneticPr fontId="30" type="noConversion"/>
  </si>
  <si>
    <t>사무실관리비</t>
    <phoneticPr fontId="30" type="noConversion"/>
  </si>
  <si>
    <t>성과심사비</t>
    <phoneticPr fontId="30" type="noConversion"/>
  </si>
  <si>
    <t>보안경비</t>
    <phoneticPr fontId="30" type="noConversion"/>
  </si>
  <si>
    <t>기타수수료</t>
    <phoneticPr fontId="30" type="noConversion"/>
  </si>
  <si>
    <t>컴퓨터</t>
    <phoneticPr fontId="30" type="noConversion"/>
  </si>
  <si>
    <t>노트북, 데스트탑, 서버, 모니터</t>
    <phoneticPr fontId="30" type="noConversion"/>
  </si>
  <si>
    <t>사무용가구</t>
    <phoneticPr fontId="30" type="noConversion"/>
  </si>
  <si>
    <t>선박</t>
    <phoneticPr fontId="30" type="noConversion"/>
  </si>
  <si>
    <t>외부업체 장비 입차 시</t>
  </si>
  <si>
    <t>측량장비</t>
    <phoneticPr fontId="30" type="noConversion"/>
  </si>
  <si>
    <t>수선비</t>
    <phoneticPr fontId="30" type="noConversion"/>
  </si>
  <si>
    <t>비품수리, 사무실인테리어(구축/철거) 등</t>
    <phoneticPr fontId="37" type="noConversion"/>
  </si>
  <si>
    <t>발송비</t>
    <phoneticPr fontId="30" type="noConversion"/>
  </si>
  <si>
    <t>퀵, 용달</t>
    <phoneticPr fontId="37" type="noConversion"/>
  </si>
  <si>
    <t>사무용품비</t>
    <phoneticPr fontId="30" type="noConversion"/>
  </si>
  <si>
    <t>사무용품, 외장하드 등</t>
    <phoneticPr fontId="30" type="noConversion"/>
  </si>
  <si>
    <t>청소비, 숙소물품 등</t>
    <phoneticPr fontId="37" type="noConversion"/>
  </si>
  <si>
    <t>세금과공과금</t>
    <phoneticPr fontId="30" type="noConversion"/>
  </si>
  <si>
    <t>인지세, 지역개발공채매도수수료</t>
    <phoneticPr fontId="37" type="noConversion"/>
  </si>
  <si>
    <t>보증금 X (계약월수/12개월 X 5%)</t>
    <phoneticPr fontId="37" type="noConversion"/>
  </si>
  <si>
    <t>자사 사용료</t>
    <phoneticPr fontId="30" type="noConversion"/>
  </si>
  <si>
    <t>자사 선박 사용 시</t>
    <phoneticPr fontId="37" type="noConversion"/>
  </si>
  <si>
    <t>자사 측량장비 사용 시</t>
    <phoneticPr fontId="37" type="noConversion"/>
  </si>
  <si>
    <t>차량</t>
    <phoneticPr fontId="30" type="noConversion"/>
  </si>
  <si>
    <t>자사 차량 사용 시</t>
    <phoneticPr fontId="37" type="noConversion"/>
  </si>
  <si>
    <t>사무실 임대</t>
    <phoneticPr fontId="30" type="noConversion"/>
  </si>
  <si>
    <t>자사 사무실 사용 시</t>
    <phoneticPr fontId="37" type="noConversion"/>
  </si>
  <si>
    <t>S/W</t>
    <phoneticPr fontId="30" type="noConversion"/>
  </si>
  <si>
    <t>자사  SW 사용 시</t>
    <phoneticPr fontId="37" type="noConversion"/>
  </si>
  <si>
    <t>수당</t>
    <phoneticPr fontId="30" type="noConversion"/>
  </si>
  <si>
    <t>야근/휴일수당</t>
    <phoneticPr fontId="30" type="noConversion"/>
  </si>
  <si>
    <t>미시행</t>
    <phoneticPr fontId="37" type="noConversion"/>
  </si>
  <si>
    <t>파견수당</t>
    <phoneticPr fontId="30" type="noConversion"/>
  </si>
  <si>
    <t>장기파견 시 지급되는 수당</t>
    <phoneticPr fontId="30" type="noConversion"/>
  </si>
  <si>
    <t>현장/안전수당</t>
    <phoneticPr fontId="30" type="noConversion"/>
  </si>
  <si>
    <t>현장수당 일비 2만8천원, 안전수당 일비 3만원</t>
  </si>
  <si>
    <t>PM수당</t>
    <phoneticPr fontId="30" type="noConversion"/>
  </si>
  <si>
    <t>납품용 HW, SW, 외장하드 등 제품 및 솔루션 구매</t>
    <phoneticPr fontId="37" type="noConversion"/>
  </si>
  <si>
    <t>* PM수당 기준</t>
    <phoneticPr fontId="30" type="noConversion"/>
  </si>
  <si>
    <t>PM수당</t>
    <phoneticPr fontId="39" type="noConversion"/>
  </si>
  <si>
    <t>주관사일 경우(단독포함)</t>
    <phoneticPr fontId="30" type="noConversion"/>
  </si>
  <si>
    <t>참여사일 경우</t>
    <phoneticPr fontId="30" type="noConversion"/>
  </si>
  <si>
    <t>낙찰금액 기준</t>
    <phoneticPr fontId="30" type="noConversion"/>
  </si>
  <si>
    <t>당사 지분금액 기준</t>
    <phoneticPr fontId="30" type="noConversion"/>
  </si>
  <si>
    <t>S</t>
    <phoneticPr fontId="39" type="noConversion"/>
  </si>
  <si>
    <t>20만원</t>
    <phoneticPr fontId="30" type="noConversion"/>
  </si>
  <si>
    <t>20억원 이상</t>
    <phoneticPr fontId="30" type="noConversion"/>
  </si>
  <si>
    <t>A</t>
    <phoneticPr fontId="39" type="noConversion"/>
  </si>
  <si>
    <t>15만원</t>
    <phoneticPr fontId="39" type="noConversion"/>
  </si>
  <si>
    <t>10억원 이상 ~ 20억원 미만</t>
    <phoneticPr fontId="30" type="noConversion"/>
  </si>
  <si>
    <t>B</t>
    <phoneticPr fontId="39" type="noConversion"/>
  </si>
  <si>
    <t>10만원</t>
    <phoneticPr fontId="39" type="noConversion"/>
  </si>
  <si>
    <t>2억원 이상 ~ 10억원 미만</t>
    <phoneticPr fontId="30" type="noConversion"/>
  </si>
  <si>
    <t>C</t>
    <phoneticPr fontId="39" type="noConversion"/>
  </si>
  <si>
    <t>5만원</t>
    <phoneticPr fontId="39" type="noConversion"/>
  </si>
  <si>
    <t>0.5억원 이상 ~ 2억원 미만</t>
    <phoneticPr fontId="30" type="noConversion"/>
  </si>
  <si>
    <t>D</t>
    <phoneticPr fontId="39" type="noConversion"/>
  </si>
  <si>
    <t>없음</t>
    <phoneticPr fontId="39" type="noConversion"/>
  </si>
  <si>
    <t>0.5억원 미만</t>
    <phoneticPr fontId="30" type="noConversion"/>
  </si>
  <si>
    <t>선박(외부)</t>
    <phoneticPr fontId="30" type="noConversion"/>
  </si>
  <si>
    <t>측량장비(외부)</t>
    <phoneticPr fontId="30" type="noConversion"/>
  </si>
  <si>
    <t>외주비 공통비</t>
    <phoneticPr fontId="30" type="noConversion"/>
  </si>
  <si>
    <t>재료비 공통비</t>
    <phoneticPr fontId="30" type="noConversion"/>
  </si>
  <si>
    <t>계약직 공통비</t>
    <phoneticPr fontId="30" type="noConversion"/>
  </si>
  <si>
    <t>하도급 공통비</t>
    <phoneticPr fontId="30" type="noConversion"/>
  </si>
  <si>
    <t>숙박비</t>
    <phoneticPr fontId="30" type="noConversion"/>
  </si>
  <si>
    <t>여객선비</t>
    <phoneticPr fontId="30" type="noConversion"/>
  </si>
  <si>
    <t>항공</t>
    <phoneticPr fontId="30" type="noConversion"/>
  </si>
  <si>
    <t>철도비</t>
    <phoneticPr fontId="30" type="noConversion"/>
  </si>
  <si>
    <t>버스비</t>
    <phoneticPr fontId="30" type="noConversion"/>
  </si>
  <si>
    <t>택시비</t>
    <phoneticPr fontId="30" type="noConversion"/>
  </si>
  <si>
    <t>지하철비</t>
    <phoneticPr fontId="30" type="noConversion"/>
  </si>
  <si>
    <t>자가차량 유류비(자가차량 운영비 기준에 따름)</t>
    <phoneticPr fontId="30" type="noConversion"/>
  </si>
  <si>
    <t>자사 및 타사 선박 주유비</t>
    <phoneticPr fontId="30" type="noConversion"/>
  </si>
  <si>
    <t>통행료(하이패스)</t>
    <phoneticPr fontId="30" type="noConversion"/>
  </si>
  <si>
    <t>차량 수리비</t>
    <phoneticPr fontId="30" type="noConversion"/>
  </si>
  <si>
    <t>자가차량, 자사차량, 렌탈차량 주차비</t>
    <phoneticPr fontId="30" type="noConversion"/>
  </si>
  <si>
    <t>자사차량, 렌탈차량 주유비</t>
    <phoneticPr fontId="30" type="noConversion"/>
  </si>
  <si>
    <t>차량렌탈비</t>
    <phoneticPr fontId="30" type="noConversion"/>
  </si>
  <si>
    <t>외부 사업장 인터넷비</t>
    <phoneticPr fontId="30" type="noConversion"/>
  </si>
  <si>
    <t>외부 사업장 전기세</t>
    <phoneticPr fontId="30" type="noConversion"/>
  </si>
  <si>
    <t>외부 사업장 가스, 수도요금</t>
    <phoneticPr fontId="30" type="noConversion"/>
  </si>
  <si>
    <t>외부 사업장 사무실(숙소포함) 임대료</t>
    <phoneticPr fontId="30" type="noConversion"/>
  </si>
  <si>
    <t>타사 선박 임대료</t>
    <phoneticPr fontId="30" type="noConversion"/>
  </si>
  <si>
    <t>기타 임대료</t>
    <phoneticPr fontId="30" type="noConversion"/>
  </si>
  <si>
    <t>도서구매</t>
    <phoneticPr fontId="30" type="noConversion"/>
  </si>
  <si>
    <t>인쇄</t>
    <phoneticPr fontId="30" type="noConversion"/>
  </si>
  <si>
    <t>외부 사업장(숙소포함) 관리비</t>
    <phoneticPr fontId="30" type="noConversion"/>
  </si>
  <si>
    <t>공공측량 및 수로조사 등 성과심사비</t>
    <phoneticPr fontId="30" type="noConversion"/>
  </si>
  <si>
    <t>세콤, 텔레캅 등 보안경비</t>
    <phoneticPr fontId="30" type="noConversion"/>
  </si>
  <si>
    <t>제안비용(GD, 제안서 출력비용)</t>
    <phoneticPr fontId="30" type="noConversion"/>
  </si>
  <si>
    <t>퀵, 택배, 용달</t>
    <phoneticPr fontId="30" type="noConversion"/>
  </si>
  <si>
    <t>사무용품 외장하드 등</t>
    <phoneticPr fontId="30" type="noConversion"/>
  </si>
  <si>
    <t>사무실(숙소포함) 인테리어(구축/철거), 집기랜탈</t>
    <phoneticPr fontId="30" type="noConversion"/>
  </si>
  <si>
    <t>인지세, 지역개발공채매도수수료(경영지원팀 문의)</t>
  </si>
  <si>
    <t>사무실(숙소포함) 임대보증금 이자비용(비용 산정은 8.설명자료 참조)</t>
  </si>
  <si>
    <t>미시행</t>
  </si>
  <si>
    <t>장기파견 시 지급되는 수당</t>
  </si>
  <si>
    <t>등급별금액은 8.설명자료 참조</t>
  </si>
  <si>
    <t>노트북, 데스트탑, 서버, 모니터 등 장비 임차</t>
    <phoneticPr fontId="30" type="noConversion"/>
  </si>
  <si>
    <t>자사 선박 사용료(경영지원팀 문의)</t>
    <phoneticPr fontId="30" type="noConversion"/>
  </si>
  <si>
    <t>자사 측량장비 사용료(경영지원팀 문의)</t>
    <phoneticPr fontId="30" type="noConversion"/>
  </si>
  <si>
    <t>자사 차량 사용료(경영지원팀 문의)</t>
    <phoneticPr fontId="30" type="noConversion"/>
  </si>
  <si>
    <t>가산동 사무실 사용료(경영지원팀 문의)</t>
    <phoneticPr fontId="30" type="noConversion"/>
  </si>
  <si>
    <t>자사 SW 사용료(경영지원팀 문의)</t>
    <phoneticPr fontId="30" type="noConversion"/>
  </si>
  <si>
    <t>출장 근무에 따른 아침 식대</t>
    <phoneticPr fontId="30" type="noConversion"/>
  </si>
  <si>
    <t>휴일 근무에 따른 식대</t>
    <phoneticPr fontId="30" type="noConversion"/>
  </si>
  <si>
    <t>야간 근무 시 식대(6,000원*22일)*0.5*M/M</t>
    <phoneticPr fontId="30" type="noConversion"/>
  </si>
  <si>
    <t>청소비 등 기타 지급 수수료</t>
    <phoneticPr fontId="30" type="noConversion"/>
  </si>
  <si>
    <t>숙소물품 등</t>
    <phoneticPr fontId="30" type="noConversion"/>
  </si>
  <si>
    <t>팩스, 프린터 등 장비 임차</t>
    <phoneticPr fontId="30" type="noConversion"/>
  </si>
  <si>
    <t>책상, 의자, 파티션 등 장비 임차</t>
    <phoneticPr fontId="30" type="noConversion"/>
  </si>
  <si>
    <t>외부업체 측량장비 임차</t>
    <phoneticPr fontId="30" type="noConversion"/>
  </si>
  <si>
    <t>외부업체 선박 임차</t>
    <phoneticPr fontId="30" type="noConversion"/>
  </si>
  <si>
    <t>등기 및 일반우편 등</t>
    <phoneticPr fontId="30" type="noConversion"/>
  </si>
  <si>
    <t>비통제/기타</t>
    <phoneticPr fontId="30" type="noConversion"/>
  </si>
  <si>
    <t>국토/해양 현장업무 수행 시 1일당 2천원</t>
    <phoneticPr fontId="30" type="noConversion"/>
  </si>
  <si>
    <t>착수/중간/완료 보고회 및 기타 회의장 사용료</t>
    <phoneticPr fontId="30" type="noConversion"/>
  </si>
  <si>
    <t>착수/중간/완료 보고회 및 기타 회의 식대</t>
    <phoneticPr fontId="30" type="noConversion"/>
  </si>
  <si>
    <t>착수/중간/완료 보고회 및 기타 회의 음료</t>
    <phoneticPr fontId="30" type="noConversion"/>
  </si>
  <si>
    <t>착수/중간/완료 보고회 및 기타 회의 물품구매</t>
    <phoneticPr fontId="30" type="noConversion"/>
  </si>
  <si>
    <t>- 경비 항목 세분화
- 공통비 경비 포함
- 경영지원팀 상세정산 삭제</t>
    <phoneticPr fontId="30" type="noConversion"/>
  </si>
  <si>
    <t>이태현</t>
    <phoneticPr fontId="30" type="noConversion"/>
  </si>
  <si>
    <t>착수/중간/완료 보고회 및 기타 회의장 사용료</t>
  </si>
  <si>
    <t>착수/중간/완료 보고회 및 기타 회의 식대</t>
  </si>
  <si>
    <t>착수/중간/완료 보고회 및 기타 회의 음료</t>
  </si>
  <si>
    <t>착수/중간/완료 보고회 및 기타 회의 물품구매</t>
  </si>
  <si>
    <t>김영수</t>
    <phoneticPr fontId="30" type="noConversion"/>
  </si>
  <si>
    <t>【별지서식 제1호】 차량유류비 청구서</t>
    <phoneticPr fontId="37" type="noConversion"/>
  </si>
  <si>
    <t>월일</t>
    <phoneticPr fontId="37" type="noConversion"/>
  </si>
  <si>
    <t>방문처</t>
  </si>
  <si>
    <t>방문목적</t>
  </si>
  <si>
    <t>출발지</t>
  </si>
  <si>
    <t>도착지</t>
  </si>
  <si>
    <t>운행거리</t>
  </si>
  <si>
    <t>차종</t>
  </si>
  <si>
    <t>연비
(리터당)</t>
    <phoneticPr fontId="37" type="noConversion"/>
  </si>
  <si>
    <t>단가</t>
  </si>
  <si>
    <t>유류비</t>
  </si>
  <si>
    <t>소계</t>
    <phoneticPr fontId="37" type="noConversion"/>
  </si>
  <si>
    <t>합계</t>
  </si>
  <si>
    <t>1. 연비(리터당) 환산 : 자가차량 운영비 청구규정 6page 참조(동일 연비 참조)
2. 단가 환산 : 한국석유공사 http://www.knoc.co.kr/에서 제시하는 유종별 단가를 적용하고
   차량의 감가비용을 감안한 100원을 더하여 산정한다. 
   예) 유가 휘발유 1,780 + 100 = 1,880</t>
    <phoneticPr fontId="37" type="noConversion"/>
  </si>
  <si>
    <t>성명 :</t>
    <phoneticPr fontId="37" type="noConversion"/>
  </si>
  <si>
    <t xml:space="preserve">차량 No. 24소6553 </t>
    <phoneticPr fontId="37" type="noConversion"/>
  </si>
  <si>
    <t>회의식대(중식비)</t>
    <phoneticPr fontId="30" type="noConversion"/>
  </si>
  <si>
    <t>법인(개인)카드 상세정산</t>
    <phoneticPr fontId="30" type="noConversion"/>
  </si>
  <si>
    <t>전계범</t>
    <phoneticPr fontId="30" type="noConversion"/>
  </si>
  <si>
    <t>전계범</t>
    <phoneticPr fontId="37" type="noConversion"/>
  </si>
  <si>
    <t>전계범(개인)</t>
    <phoneticPr fontId="30" type="noConversion"/>
  </si>
  <si>
    <t>Digital Twin Lab</t>
    <phoneticPr fontId="30" type="noConversion"/>
  </si>
  <si>
    <t>2026년 4월분 법인(개인) 카드 정산서</t>
    <phoneticPr fontId="37" type="noConversion"/>
  </si>
  <si>
    <t>2026.04.01</t>
    <phoneticPr fontId="30" type="noConversion"/>
  </si>
  <si>
    <t>2026.04.03</t>
    <phoneticPr fontId="30" type="noConversion"/>
  </si>
  <si>
    <t>2026.04.08</t>
    <phoneticPr fontId="30" type="noConversion"/>
  </si>
  <si>
    <t>2026.04.09</t>
    <phoneticPr fontId="30" type="noConversion"/>
  </si>
  <si>
    <t>2026.04.10</t>
    <phoneticPr fontId="30" type="noConversion"/>
  </si>
  <si>
    <t>2026.04.13</t>
    <phoneticPr fontId="30" type="noConversion"/>
  </si>
  <si>
    <t>2026.04.15</t>
    <phoneticPr fontId="30" type="noConversion"/>
  </si>
  <si>
    <t>2026.04.17</t>
    <phoneticPr fontId="30" type="noConversion"/>
  </si>
  <si>
    <t>2026.04.20</t>
    <phoneticPr fontId="30" type="noConversion"/>
  </si>
  <si>
    <t>2026.04.22</t>
    <phoneticPr fontId="30" type="noConversion"/>
  </si>
  <si>
    <t>2026.04.27</t>
    <phoneticPr fontId="30" type="noConversion"/>
  </si>
  <si>
    <t>2026.04.16</t>
    <phoneticPr fontId="30" type="noConversion"/>
  </si>
  <si>
    <t>2026.04.28</t>
    <phoneticPr fontId="30" type="noConversion"/>
  </si>
  <si>
    <t>AI 도구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</si>
</sst>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5" formatCode="&quot;₩&quot;#,##0;\-&quot;₩&quot;#,##0"/>
    <numFmt numFmtId="41" formatCode="_-* #,##0_-;\-* #,##0_-;_-* &quot;-&quot;_-;_-@_-"/>
    <numFmt numFmtId="176" formatCode="&quot;₩&quot;#,##0"/>
    <numFmt numFmtId="177" formatCode="0.00000"/>
    <numFmt numFmtId="178" formatCode="&quot;₩&quot;#,##0.00;&quot;₩&quot;\-#,##0.00"/>
    <numFmt numFmtId="179" formatCode="0.00000%"/>
    <numFmt numFmtId="180" formatCode="&quot;₩&quot;#,##0;[Red]&quot;₩&quot;\-#,##0"/>
    <numFmt numFmtId="181" formatCode="&quot;₩&quot;#,##0;&quot;₩&quot;\-#,##0"/>
    <numFmt numFmtId="182" formatCode="#,##0_ ;[Red]\-#,##0\ "/>
    <numFmt numFmtId="183" formatCode="0.000%"/>
    <numFmt numFmtId="184" formatCode="0.00_ "/>
    <numFmt numFmtId="185" formatCode="m&quot;월&quot;\ d&quot;일&quot;;@"/>
    <numFmt numFmtId="186" formatCode="0_ "/>
    <numFmt numFmtId="187" formatCode="0.0_ "/>
    <numFmt numFmtId="188" formatCode="#,##0_);[Red]\(#,##0\)"/>
    <numFmt numFmtId="189" formatCode="mm&quot;월&quot;\ dd&quot;일&quot;"/>
  </numFmts>
  <fonts count="9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System"/>
      <family val="2"/>
      <charset val="129"/>
    </font>
    <font>
      <sz val="1"/>
      <color indexed="8"/>
      <name val="Courier"/>
      <family val="3"/>
    </font>
    <font>
      <sz val="10"/>
      <name val="Arial"/>
      <family val="2"/>
    </font>
    <font>
      <sz val="10"/>
      <name val="굴림체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14"/>
      <name val="뼻뮝"/>
      <family val="3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b/>
      <sz val="11"/>
      <color rgb="FFFA7D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6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나눔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u/>
      <sz val="14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color rgb="FFFF0000"/>
      <name val="Yoon 윤명조 520_TT"/>
      <family val="1"/>
      <charset val="129"/>
    </font>
    <font>
      <b/>
      <sz val="11"/>
      <color rgb="FFFF0000"/>
      <name val="맑은 고딕"/>
      <family val="3"/>
      <charset val="129"/>
    </font>
    <font>
      <sz val="10"/>
      <name val="맑은 고딕"/>
      <family val="3"/>
      <charset val="129"/>
    </font>
    <font>
      <b/>
      <sz val="15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u/>
      <sz val="18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0" tint="-4.9989318521683403E-2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32">
    <xf numFmtId="0" fontId="0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40" fillId="0" borderId="0"/>
    <xf numFmtId="0" fontId="40" fillId="0" borderId="0"/>
    <xf numFmtId="0" fontId="41" fillId="0" borderId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/>
    <xf numFmtId="0" fontId="44" fillId="0" borderId="0"/>
    <xf numFmtId="4" fontId="46" fillId="0" borderId="0">
      <protection locked="0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3" fontId="47" fillId="0" borderId="0" applyFont="0" applyFill="0" applyBorder="0" applyAlignment="0" applyProtection="0"/>
    <xf numFmtId="0" fontId="48" fillId="0" borderId="0" applyFont="0" applyFill="0" applyBorder="0" applyAlignment="0" applyProtection="0"/>
    <xf numFmtId="177" fontId="35" fillId="0" borderId="0">
      <protection locked="0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>
      <protection locked="0"/>
    </xf>
    <xf numFmtId="179" fontId="35" fillId="0" borderId="0">
      <protection locked="0"/>
    </xf>
    <xf numFmtId="38" fontId="49" fillId="2" borderId="0" applyNumberFormat="0" applyBorder="0" applyAlignment="0" applyProtection="0"/>
    <xf numFmtId="0" fontId="50" fillId="0" borderId="25" applyNumberFormat="0" applyAlignment="0" applyProtection="0">
      <alignment horizontal="left" vertical="center"/>
    </xf>
    <xf numFmtId="0" fontId="50" fillId="0" borderId="17">
      <alignment horizontal="left" vertical="center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80" fontId="35" fillId="0" borderId="0">
      <protection locked="0"/>
    </xf>
    <xf numFmtId="180" fontId="35" fillId="0" borderId="0">
      <protection locked="0"/>
    </xf>
    <xf numFmtId="10" fontId="49" fillId="6" borderId="1" applyNumberFormat="0" applyBorder="0" applyAlignment="0" applyProtection="0"/>
    <xf numFmtId="0" fontId="40" fillId="0" borderId="0"/>
    <xf numFmtId="0" fontId="47" fillId="0" borderId="0"/>
    <xf numFmtId="181" fontId="35" fillId="0" borderId="0">
      <protection locked="0"/>
    </xf>
    <xf numFmtId="10" fontId="47" fillId="0" borderId="0" applyFont="0" applyFill="0" applyBorder="0" applyAlignment="0" applyProtection="0"/>
    <xf numFmtId="0" fontId="52" fillId="0" borderId="0"/>
    <xf numFmtId="180" fontId="35" fillId="0" borderId="29">
      <protection locked="0"/>
    </xf>
    <xf numFmtId="40" fontId="53" fillId="0" borderId="0" applyFont="0" applyFill="0" applyBorder="0" applyAlignment="0" applyProtection="0"/>
    <xf numFmtId="38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55" fillId="0" borderId="0"/>
    <xf numFmtId="41" fontId="54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5" fontId="35" fillId="0" borderId="0" applyBorder="0"/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6" fillId="7" borderId="33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7" fillId="0" borderId="0" applyNumberFormat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4" fillId="0" borderId="0" applyFont="0" applyFill="0" applyBorder="0" applyAlignment="0" applyProtection="0"/>
    <xf numFmtId="5" fontId="35" fillId="0" borderId="0" applyBorder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25">
    <xf numFmtId="0" fontId="0" fillId="0" borderId="0" xfId="0">
      <alignment vertical="center"/>
    </xf>
    <xf numFmtId="0" fontId="34" fillId="0" borderId="0" xfId="78" applyFont="1" applyAlignment="1">
      <alignment horizontal="center" vertical="center" shrinkToFit="1"/>
    </xf>
    <xf numFmtId="0" fontId="34" fillId="0" borderId="0" xfId="78" applyFont="1">
      <alignment vertical="center"/>
    </xf>
    <xf numFmtId="0" fontId="58" fillId="0" borderId="37" xfId="78" applyFont="1" applyBorder="1" applyAlignment="1">
      <alignment horizontal="center" vertical="center"/>
    </xf>
    <xf numFmtId="0" fontId="58" fillId="0" borderId="0" xfId="78" applyFont="1" applyAlignment="1">
      <alignment horizontal="center" vertical="center"/>
    </xf>
    <xf numFmtId="0" fontId="58" fillId="0" borderId="39" xfId="78" applyFont="1" applyBorder="1" applyAlignment="1">
      <alignment horizontal="center" vertical="center"/>
    </xf>
    <xf numFmtId="0" fontId="34" fillId="0" borderId="37" xfId="78" applyFont="1" applyBorder="1" applyAlignment="1">
      <alignment horizontal="center" vertical="center"/>
    </xf>
    <xf numFmtId="0" fontId="34" fillId="0" borderId="0" xfId="78" applyFont="1" applyAlignment="1">
      <alignment horizontal="left" vertical="center"/>
    </xf>
    <xf numFmtId="0" fontId="34" fillId="0" borderId="39" xfId="78" applyFont="1" applyBorder="1" applyAlignment="1">
      <alignment horizontal="center" vertical="center"/>
    </xf>
    <xf numFmtId="0" fontId="34" fillId="9" borderId="34" xfId="78" applyFont="1" applyFill="1" applyBorder="1" applyAlignment="1">
      <alignment horizontal="center" vertical="center"/>
    </xf>
    <xf numFmtId="0" fontId="34" fillId="9" borderId="35" xfId="78" applyFont="1" applyFill="1" applyBorder="1" applyAlignment="1">
      <alignment horizontal="center" vertical="center" wrapText="1"/>
    </xf>
    <xf numFmtId="0" fontId="34" fillId="9" borderId="35" xfId="78" applyFont="1" applyFill="1" applyBorder="1" applyAlignment="1">
      <alignment horizontal="center" vertical="center"/>
    </xf>
    <xf numFmtId="0" fontId="34" fillId="9" borderId="36" xfId="78" applyFont="1" applyFill="1" applyBorder="1" applyAlignment="1">
      <alignment horizontal="center" vertical="center"/>
    </xf>
    <xf numFmtId="0" fontId="59" fillId="0" borderId="0" xfId="12" applyFont="1" applyAlignment="1" applyProtection="1">
      <alignment horizontal="center" vertical="center" shrinkToFit="1"/>
    </xf>
    <xf numFmtId="14" fontId="18" fillId="3" borderId="2" xfId="78" applyNumberFormat="1" applyFill="1" applyBorder="1" applyAlignment="1">
      <alignment horizontal="center" vertical="center" wrapText="1"/>
    </xf>
    <xf numFmtId="41" fontId="34" fillId="0" borderId="1" xfId="79" applyFont="1" applyBorder="1" applyAlignment="1">
      <alignment horizontal="center" vertical="center"/>
    </xf>
    <xf numFmtId="3" fontId="34" fillId="0" borderId="1" xfId="78" applyNumberFormat="1" applyFont="1" applyBorder="1">
      <alignment vertical="center"/>
    </xf>
    <xf numFmtId="0" fontId="18" fillId="0" borderId="1" xfId="78" applyBorder="1" applyAlignment="1">
      <alignment horizontal="center" vertical="center" shrinkToFit="1"/>
    </xf>
    <xf numFmtId="0" fontId="36" fillId="0" borderId="1" xfId="80" applyFont="1" applyBorder="1" applyAlignment="1">
      <alignment horizontal="center" vertical="center" shrinkToFit="1"/>
    </xf>
    <xf numFmtId="0" fontId="18" fillId="0" borderId="10" xfId="78" applyBorder="1" applyAlignment="1">
      <alignment horizontal="center" vertical="center" shrinkToFit="1"/>
    </xf>
    <xf numFmtId="41" fontId="34" fillId="0" borderId="0" xfId="78" applyNumberFormat="1" applyFont="1">
      <alignment vertical="center"/>
    </xf>
    <xf numFmtId="0" fontId="36" fillId="0" borderId="1" xfId="78" applyFont="1" applyBorder="1" applyAlignment="1">
      <alignment horizontal="center" vertical="center" shrinkToFit="1"/>
    </xf>
    <xf numFmtId="14" fontId="34" fillId="0" borderId="31" xfId="78" applyNumberFormat="1" applyFont="1" applyBorder="1" applyAlignment="1">
      <alignment horizontal="center" vertical="center"/>
    </xf>
    <xf numFmtId="0" fontId="34" fillId="0" borderId="6" xfId="78" applyFont="1" applyBorder="1" applyAlignment="1">
      <alignment horizontal="center" vertical="center"/>
    </xf>
    <xf numFmtId="41" fontId="34" fillId="0" borderId="6" xfId="79" applyFont="1" applyBorder="1" applyAlignment="1">
      <alignment horizontal="center" vertical="center"/>
    </xf>
    <xf numFmtId="182" fontId="34" fillId="0" borderId="6" xfId="78" applyNumberFormat="1" applyFont="1" applyBorder="1" applyAlignment="1">
      <alignment horizontal="right" vertical="center"/>
    </xf>
    <xf numFmtId="0" fontId="34" fillId="0" borderId="6" xfId="78" applyFont="1" applyBorder="1" applyAlignment="1">
      <alignment horizontal="center" vertical="center" shrinkToFit="1"/>
    </xf>
    <xf numFmtId="0" fontId="34" fillId="0" borderId="6" xfId="78" applyFont="1" applyBorder="1" applyAlignment="1">
      <alignment horizontal="left" vertical="center"/>
    </xf>
    <xf numFmtId="0" fontId="34" fillId="0" borderId="12" xfId="78" applyFont="1" applyBorder="1" applyAlignment="1">
      <alignment horizontal="center" vertical="center" shrinkToFit="1"/>
    </xf>
    <xf numFmtId="0" fontId="34" fillId="0" borderId="0" xfId="78" applyFont="1" applyAlignment="1">
      <alignment horizontal="center" vertical="center"/>
    </xf>
    <xf numFmtId="41" fontId="34" fillId="4" borderId="43" xfId="78" applyNumberFormat="1" applyFont="1" applyFill="1" applyBorder="1">
      <alignment vertical="center"/>
    </xf>
    <xf numFmtId="0" fontId="60" fillId="5" borderId="23" xfId="0" applyFont="1" applyFill="1" applyBorder="1" applyAlignment="1">
      <alignment horizontal="center" vertical="center"/>
    </xf>
    <xf numFmtId="0" fontId="36" fillId="5" borderId="40" xfId="0" applyFont="1" applyFill="1" applyBorder="1" applyAlignment="1">
      <alignment horizontal="center" vertical="center"/>
    </xf>
    <xf numFmtId="0" fontId="59" fillId="5" borderId="22" xfId="12" applyFont="1" applyFill="1" applyBorder="1" applyAlignment="1" applyProtection="1">
      <alignment horizontal="center" vertical="center"/>
    </xf>
    <xf numFmtId="0" fontId="31" fillId="8" borderId="2" xfId="78" applyFont="1" applyFill="1" applyBorder="1" applyAlignment="1">
      <alignment horizontal="center" vertical="center"/>
    </xf>
    <xf numFmtId="49" fontId="33" fillId="0" borderId="14" xfId="78" applyNumberFormat="1" applyFont="1" applyBorder="1" applyAlignment="1">
      <alignment horizontal="left" vertical="center" shrinkToFit="1"/>
    </xf>
    <xf numFmtId="49" fontId="33" fillId="0" borderId="1" xfId="78" applyNumberFormat="1" applyFont="1" applyBorder="1" applyAlignment="1">
      <alignment horizontal="left" vertical="center" shrinkToFit="1"/>
    </xf>
    <xf numFmtId="0" fontId="33" fillId="4" borderId="42" xfId="78" applyFont="1" applyFill="1" applyBorder="1">
      <alignment vertical="center"/>
    </xf>
    <xf numFmtId="0" fontId="33" fillId="10" borderId="6" xfId="78" applyFont="1" applyFill="1" applyBorder="1" applyAlignment="1">
      <alignment horizontal="center" vertical="center"/>
    </xf>
    <xf numFmtId="0" fontId="62" fillId="8" borderId="7" xfId="0" applyFont="1" applyFill="1" applyBorder="1" applyAlignment="1">
      <alignment horizontal="center" vertical="center" wrapText="1"/>
    </xf>
    <xf numFmtId="0" fontId="62" fillId="8" borderId="3" xfId="0" applyFont="1" applyFill="1" applyBorder="1" applyAlignment="1">
      <alignment horizontal="center" vertical="center" wrapText="1"/>
    </xf>
    <xf numFmtId="0" fontId="63" fillId="8" borderId="11" xfId="0" applyFont="1" applyFill="1" applyBorder="1" applyAlignment="1">
      <alignment horizontal="center" vertical="center"/>
    </xf>
    <xf numFmtId="0" fontId="63" fillId="8" borderId="19" xfId="0" applyFont="1" applyFill="1" applyBorder="1" applyAlignment="1">
      <alignment vertical="center" shrinkToFit="1"/>
    </xf>
    <xf numFmtId="0" fontId="64" fillId="8" borderId="2" xfId="0" applyFont="1" applyFill="1" applyBorder="1" applyAlignment="1">
      <alignment horizontal="center" vertical="center"/>
    </xf>
    <xf numFmtId="176" fontId="36" fillId="8" borderId="1" xfId="0" applyNumberFormat="1" applyFont="1" applyFill="1" applyBorder="1" applyAlignment="1">
      <alignment horizontal="right" vertical="center" wrapText="1"/>
    </xf>
    <xf numFmtId="0" fontId="63" fillId="8" borderId="10" xfId="0" applyFont="1" applyFill="1" applyBorder="1">
      <alignment vertical="center"/>
    </xf>
    <xf numFmtId="0" fontId="65" fillId="8" borderId="4" xfId="0" applyFont="1" applyFill="1" applyBorder="1" applyAlignment="1">
      <alignment horizontal="center" vertical="center" shrinkToFit="1"/>
    </xf>
    <xf numFmtId="183" fontId="66" fillId="8" borderId="9" xfId="0" applyNumberFormat="1" applyFont="1" applyFill="1" applyBorder="1" applyAlignment="1">
      <alignment horizontal="right" vertical="center" shrinkToFit="1"/>
    </xf>
    <xf numFmtId="0" fontId="67" fillId="8" borderId="4" xfId="0" applyFont="1" applyFill="1" applyBorder="1" applyAlignment="1">
      <alignment horizontal="left" vertical="center" shrinkToFit="1"/>
    </xf>
    <xf numFmtId="0" fontId="36" fillId="8" borderId="2" xfId="0" applyFont="1" applyFill="1" applyBorder="1" applyAlignment="1">
      <alignment horizontal="center" vertical="center" wrapText="1"/>
    </xf>
    <xf numFmtId="0" fontId="65" fillId="8" borderId="45" xfId="0" applyFont="1" applyFill="1" applyBorder="1" applyAlignment="1">
      <alignment horizontal="center" vertical="center" shrinkToFit="1"/>
    </xf>
    <xf numFmtId="183" fontId="67" fillId="8" borderId="46" xfId="0" applyNumberFormat="1" applyFont="1" applyFill="1" applyBorder="1" applyAlignment="1">
      <alignment horizontal="right" vertical="center" shrinkToFit="1"/>
    </xf>
    <xf numFmtId="183" fontId="67" fillId="8" borderId="47" xfId="0" applyNumberFormat="1" applyFont="1" applyFill="1" applyBorder="1" applyAlignment="1">
      <alignment vertical="center" shrinkToFit="1"/>
    </xf>
    <xf numFmtId="183" fontId="67" fillId="8" borderId="48" xfId="0" applyNumberFormat="1" applyFont="1" applyFill="1" applyBorder="1" applyAlignment="1">
      <alignment horizontal="right" vertical="center" shrinkToFit="1"/>
    </xf>
    <xf numFmtId="183" fontId="67" fillId="8" borderId="49" xfId="0" applyNumberFormat="1" applyFont="1" applyFill="1" applyBorder="1" applyAlignment="1">
      <alignment vertical="center" shrinkToFit="1"/>
    </xf>
    <xf numFmtId="0" fontId="65" fillId="8" borderId="21" xfId="0" applyFont="1" applyFill="1" applyBorder="1" applyAlignment="1">
      <alignment horizontal="center" vertical="center" shrinkToFit="1"/>
    </xf>
    <xf numFmtId="183" fontId="67" fillId="8" borderId="50" xfId="0" applyNumberFormat="1" applyFont="1" applyFill="1" applyBorder="1" applyAlignment="1">
      <alignment horizontal="right" vertical="center" shrinkToFit="1"/>
    </xf>
    <xf numFmtId="183" fontId="67" fillId="8" borderId="51" xfId="0" applyNumberFormat="1" applyFont="1" applyFill="1" applyBorder="1" applyAlignment="1">
      <alignment vertical="center" shrinkToFit="1"/>
    </xf>
    <xf numFmtId="183" fontId="67" fillId="8" borderId="52" xfId="0" applyNumberFormat="1" applyFont="1" applyFill="1" applyBorder="1" applyAlignment="1">
      <alignment horizontal="right" vertical="center" shrinkToFit="1"/>
    </xf>
    <xf numFmtId="183" fontId="67" fillId="8" borderId="53" xfId="0" applyNumberFormat="1" applyFont="1" applyFill="1" applyBorder="1" applyAlignment="1">
      <alignment vertical="center" shrinkToFit="1"/>
    </xf>
    <xf numFmtId="0" fontId="36" fillId="8" borderId="31" xfId="0" applyFont="1" applyFill="1" applyBorder="1" applyAlignment="1">
      <alignment horizontal="center" vertical="center" wrapText="1"/>
    </xf>
    <xf numFmtId="176" fontId="36" fillId="8" borderId="6" xfId="0" applyNumberFormat="1" applyFont="1" applyFill="1" applyBorder="1" applyAlignment="1">
      <alignment horizontal="right" vertical="center" wrapText="1"/>
    </xf>
    <xf numFmtId="0" fontId="63" fillId="8" borderId="12" xfId="0" applyFont="1" applyFill="1" applyBorder="1">
      <alignment vertical="center"/>
    </xf>
    <xf numFmtId="0" fontId="65" fillId="8" borderId="54" xfId="0" applyFont="1" applyFill="1" applyBorder="1" applyAlignment="1">
      <alignment horizontal="center" vertical="center" shrinkToFit="1"/>
    </xf>
    <xf numFmtId="0" fontId="64" fillId="0" borderId="0" xfId="0" applyFont="1">
      <alignment vertical="center"/>
    </xf>
    <xf numFmtId="0" fontId="36" fillId="0" borderId="0" xfId="0" applyFont="1">
      <alignment vertical="center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0" borderId="0" xfId="78" applyFont="1">
      <alignment vertical="center"/>
    </xf>
    <xf numFmtId="0" fontId="72" fillId="2" borderId="7" xfId="0" applyFont="1" applyFill="1" applyBorder="1" applyAlignment="1">
      <alignment horizontal="center" vertical="center" wrapText="1"/>
    </xf>
    <xf numFmtId="0" fontId="72" fillId="2" borderId="3" xfId="0" applyFont="1" applyFill="1" applyBorder="1" applyAlignment="1">
      <alignment horizontal="center" vertical="center" wrapText="1"/>
    </xf>
    <xf numFmtId="0" fontId="72" fillId="2" borderId="8" xfId="0" applyFont="1" applyFill="1" applyBorder="1" applyAlignment="1">
      <alignment horizontal="center" vertical="center" wrapText="1"/>
    </xf>
    <xf numFmtId="0" fontId="72" fillId="2" borderId="11" xfId="0" applyFont="1" applyFill="1" applyBorder="1" applyAlignment="1">
      <alignment horizontal="center" vertical="center" wrapText="1"/>
    </xf>
    <xf numFmtId="0" fontId="68" fillId="0" borderId="2" xfId="0" applyFont="1" applyBorder="1" applyAlignment="1">
      <alignment horizontal="center" vertical="center" wrapText="1"/>
    </xf>
    <xf numFmtId="184" fontId="68" fillId="0" borderId="1" xfId="0" quotePrefix="1" applyNumberFormat="1" applyFont="1" applyBorder="1" applyAlignment="1">
      <alignment horizontal="center" vertical="center" wrapText="1"/>
    </xf>
    <xf numFmtId="14" fontId="68" fillId="0" borderId="1" xfId="0" applyNumberFormat="1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68" fillId="0" borderId="10" xfId="0" applyFont="1" applyBorder="1" applyAlignment="1">
      <alignment horizontal="center" vertical="center" wrapText="1"/>
    </xf>
    <xf numFmtId="0" fontId="68" fillId="0" borderId="10" xfId="0" applyFont="1" applyBorder="1" applyAlignment="1">
      <alignment horizontal="justify" vertical="center" wrapText="1"/>
    </xf>
    <xf numFmtId="0" fontId="68" fillId="0" borderId="31" xfId="0" applyFont="1" applyBorder="1" applyAlignment="1">
      <alignment horizontal="center" vertical="center" wrapText="1"/>
    </xf>
    <xf numFmtId="184" fontId="68" fillId="0" borderId="6" xfId="0" applyNumberFormat="1" applyFont="1" applyBorder="1" applyAlignment="1">
      <alignment horizontal="justify" vertical="center" wrapText="1"/>
    </xf>
    <xf numFmtId="0" fontId="68" fillId="0" borderId="6" xfId="0" applyFont="1" applyBorder="1" applyAlignment="1">
      <alignment horizontal="justify" vertical="center" wrapText="1"/>
    </xf>
    <xf numFmtId="0" fontId="68" fillId="0" borderId="12" xfId="0" applyFont="1" applyBorder="1" applyAlignment="1">
      <alignment horizontal="justify" vertical="center" wrapText="1"/>
    </xf>
    <xf numFmtId="0" fontId="70" fillId="0" borderId="0" xfId="0" applyFont="1">
      <alignment vertical="center"/>
    </xf>
    <xf numFmtId="0" fontId="68" fillId="0" borderId="0" xfId="0" applyFont="1">
      <alignment vertical="center"/>
    </xf>
    <xf numFmtId="0" fontId="73" fillId="0" borderId="9" xfId="0" quotePrefix="1" applyFont="1" applyBorder="1">
      <alignment vertical="center"/>
    </xf>
    <xf numFmtId="0" fontId="73" fillId="0" borderId="9" xfId="0" quotePrefix="1" applyFont="1" applyBorder="1" applyAlignment="1">
      <alignment vertical="center" wrapText="1"/>
    </xf>
    <xf numFmtId="0" fontId="73" fillId="0" borderId="55" xfId="0" applyFont="1" applyBorder="1">
      <alignment vertical="center"/>
    </xf>
    <xf numFmtId="41" fontId="34" fillId="8" borderId="1" xfId="79" applyFont="1" applyFill="1" applyBorder="1" applyAlignment="1">
      <alignment horizontal="center" vertical="center"/>
    </xf>
    <xf numFmtId="14" fontId="18" fillId="3" borderId="2" xfId="78" applyNumberFormat="1" applyFill="1" applyBorder="1" applyAlignment="1" applyProtection="1">
      <alignment horizontal="center" vertical="center" wrapText="1"/>
      <protection locked="0"/>
    </xf>
    <xf numFmtId="0" fontId="18" fillId="0" borderId="1" xfId="78" applyBorder="1" applyAlignment="1" applyProtection="1">
      <alignment horizontal="center" vertical="center"/>
      <protection locked="0"/>
    </xf>
    <xf numFmtId="3" fontId="34" fillId="0" borderId="1" xfId="78" applyNumberFormat="1" applyFont="1" applyBorder="1" applyProtection="1">
      <alignment vertical="center"/>
      <protection locked="0"/>
    </xf>
    <xf numFmtId="0" fontId="17" fillId="0" borderId="1" xfId="78" applyFont="1" applyBorder="1" applyAlignment="1" applyProtection="1">
      <alignment horizontal="center" vertical="center" shrinkToFit="1"/>
      <protection locked="0"/>
    </xf>
    <xf numFmtId="0" fontId="36" fillId="0" borderId="1" xfId="80" applyFont="1" applyBorder="1" applyAlignment="1" applyProtection="1">
      <alignment horizontal="center" vertical="center" shrinkToFit="1"/>
      <protection locked="0"/>
    </xf>
    <xf numFmtId="0" fontId="17" fillId="0" borderId="10" xfId="78" applyFont="1" applyBorder="1" applyAlignment="1" applyProtection="1">
      <alignment horizontal="center" vertical="center" shrinkToFit="1"/>
      <protection locked="0"/>
    </xf>
    <xf numFmtId="14" fontId="68" fillId="0" borderId="1" xfId="0" applyNumberFormat="1" applyFont="1" applyBorder="1" applyAlignment="1">
      <alignment horizontal="center" vertical="center"/>
    </xf>
    <xf numFmtId="184" fontId="68" fillId="0" borderId="1" xfId="0" applyNumberFormat="1" applyFont="1" applyBorder="1" applyAlignment="1">
      <alignment horizontal="center" vertical="center" wrapText="1"/>
    </xf>
    <xf numFmtId="0" fontId="31" fillId="8" borderId="9" xfId="78" applyFont="1" applyFill="1" applyBorder="1" applyAlignment="1" applyProtection="1">
      <alignment horizontal="center" vertical="center"/>
      <protection locked="0"/>
    </xf>
    <xf numFmtId="184" fontId="68" fillId="0" borderId="13" xfId="0" applyNumberFormat="1" applyFont="1" applyBorder="1" applyAlignment="1">
      <alignment horizontal="center" vertical="center" wrapText="1"/>
    </xf>
    <xf numFmtId="0" fontId="73" fillId="0" borderId="15" xfId="0" quotePrefix="1" applyFont="1" applyBorder="1" applyAlignment="1">
      <alignment vertical="center" wrapText="1"/>
    </xf>
    <xf numFmtId="14" fontId="68" fillId="0" borderId="1" xfId="0" applyNumberFormat="1" applyFont="1" applyBorder="1" applyAlignment="1">
      <alignment horizontal="justify" vertical="center" wrapText="1"/>
    </xf>
    <xf numFmtId="0" fontId="33" fillId="10" borderId="1" xfId="78" applyFont="1" applyFill="1" applyBorder="1" applyAlignment="1">
      <alignment horizontal="center" vertical="center"/>
    </xf>
    <xf numFmtId="0" fontId="33" fillId="10" borderId="14" xfId="78" applyFont="1" applyFill="1" applyBorder="1" applyAlignment="1">
      <alignment horizontal="center" vertical="center"/>
    </xf>
    <xf numFmtId="0" fontId="80" fillId="0" borderId="0" xfId="0" applyFont="1">
      <alignment vertical="center"/>
    </xf>
    <xf numFmtId="0" fontId="81" fillId="5" borderId="7" xfId="0" applyFont="1" applyFill="1" applyBorder="1" applyAlignment="1">
      <alignment horizontal="center" vertical="center" wrapText="1"/>
    </xf>
    <xf numFmtId="0" fontId="81" fillId="5" borderId="3" xfId="0" applyFont="1" applyFill="1" applyBorder="1" applyAlignment="1">
      <alignment horizontal="center" vertical="center" wrapText="1"/>
    </xf>
    <xf numFmtId="0" fontId="61" fillId="0" borderId="0" xfId="0" applyFont="1">
      <alignment vertical="center"/>
    </xf>
    <xf numFmtId="0" fontId="83" fillId="11" borderId="2" xfId="0" applyFont="1" applyFill="1" applyBorder="1" applyAlignment="1">
      <alignment horizontal="center" vertical="center" shrinkToFit="1"/>
    </xf>
    <xf numFmtId="0" fontId="83" fillId="11" borderId="1" xfId="0" applyFont="1" applyFill="1" applyBorder="1" applyAlignment="1">
      <alignment horizontal="center" vertical="center" shrinkToFit="1"/>
    </xf>
    <xf numFmtId="0" fontId="83" fillId="13" borderId="1" xfId="0" applyFont="1" applyFill="1" applyBorder="1" applyAlignment="1">
      <alignment horizontal="center" vertical="center" shrinkToFit="1"/>
    </xf>
    <xf numFmtId="0" fontId="61" fillId="14" borderId="31" xfId="0" applyFont="1" applyFill="1" applyBorder="1" applyAlignment="1">
      <alignment horizontal="center" vertical="center"/>
    </xf>
    <xf numFmtId="0" fontId="83" fillId="14" borderId="6" xfId="0" applyFont="1" applyFill="1" applyBorder="1" applyAlignment="1">
      <alignment horizontal="center" vertical="center" shrinkToFit="1"/>
    </xf>
    <xf numFmtId="49" fontId="32" fillId="12" borderId="14" xfId="78" applyNumberFormat="1" applyFont="1" applyFill="1" applyBorder="1" applyAlignment="1">
      <alignment horizontal="center" vertical="center"/>
    </xf>
    <xf numFmtId="0" fontId="34" fillId="0" borderId="37" xfId="78" applyFont="1" applyBorder="1" applyAlignment="1">
      <alignment horizontal="center" vertical="center" shrinkToFit="1"/>
    </xf>
    <xf numFmtId="0" fontId="33" fillId="0" borderId="1" xfId="78" applyFont="1" applyBorder="1" applyAlignment="1">
      <alignment horizontal="center" vertical="center"/>
    </xf>
    <xf numFmtId="49" fontId="32" fillId="12" borderId="1" xfId="78" applyNumberFormat="1" applyFont="1" applyFill="1" applyBorder="1" applyAlignment="1">
      <alignment horizontal="center" vertical="center"/>
    </xf>
    <xf numFmtId="0" fontId="33" fillId="0" borderId="6" xfId="78" applyFont="1" applyBorder="1" applyAlignment="1">
      <alignment horizontal="center" vertical="center"/>
    </xf>
    <xf numFmtId="49" fontId="32" fillId="12" borderId="6" xfId="78" applyNumberFormat="1" applyFont="1" applyFill="1" applyBorder="1" applyAlignment="1">
      <alignment horizontal="center" vertical="center"/>
    </xf>
    <xf numFmtId="49" fontId="33" fillId="0" borderId="6" xfId="78" applyNumberFormat="1" applyFont="1" applyBorder="1" applyAlignment="1">
      <alignment horizontal="left" vertical="center" shrinkToFit="1"/>
    </xf>
    <xf numFmtId="0" fontId="33" fillId="0" borderId="1" xfId="78" applyFont="1" applyBorder="1">
      <alignment vertical="center"/>
    </xf>
    <xf numFmtId="41" fontId="33" fillId="4" borderId="12" xfId="78" applyNumberFormat="1" applyFont="1" applyFill="1" applyBorder="1">
      <alignment vertical="center"/>
    </xf>
    <xf numFmtId="41" fontId="33" fillId="4" borderId="32" xfId="1" applyFont="1" applyFill="1" applyBorder="1">
      <alignment vertical="center"/>
    </xf>
    <xf numFmtId="0" fontId="33" fillId="0" borderId="3" xfId="78" applyFont="1" applyBorder="1">
      <alignment vertical="center"/>
    </xf>
    <xf numFmtId="41" fontId="33" fillId="4" borderId="11" xfId="78" applyNumberFormat="1" applyFont="1" applyFill="1" applyBorder="1">
      <alignment vertical="center"/>
    </xf>
    <xf numFmtId="41" fontId="33" fillId="4" borderId="10" xfId="78" applyNumberFormat="1" applyFont="1" applyFill="1" applyBorder="1">
      <alignment vertical="center"/>
    </xf>
    <xf numFmtId="0" fontId="33" fillId="0" borderId="24" xfId="78" applyFont="1" applyBorder="1">
      <alignment vertical="center"/>
    </xf>
    <xf numFmtId="0" fontId="33" fillId="0" borderId="14" xfId="78" applyFont="1" applyBorder="1" applyAlignment="1">
      <alignment horizontal="center" vertical="center"/>
    </xf>
    <xf numFmtId="0" fontId="33" fillId="0" borderId="13" xfId="78" applyFont="1" applyBorder="1" applyAlignment="1">
      <alignment horizontal="center" vertical="center"/>
    </xf>
    <xf numFmtId="0" fontId="33" fillId="0" borderId="3" xfId="78" applyFont="1" applyBorder="1" applyAlignment="1">
      <alignment horizontal="center" vertical="center"/>
    </xf>
    <xf numFmtId="49" fontId="32" fillId="5" borderId="1" xfId="78" applyNumberFormat="1" applyFont="1" applyFill="1" applyBorder="1" applyAlignment="1">
      <alignment horizontal="center" vertical="center"/>
    </xf>
    <xf numFmtId="49" fontId="32" fillId="5" borderId="1" xfId="78" applyNumberFormat="1" applyFont="1" applyFill="1" applyBorder="1" applyAlignment="1">
      <alignment horizontal="left" vertical="center" shrinkToFit="1"/>
    </xf>
    <xf numFmtId="41" fontId="32" fillId="5" borderId="32" xfId="1" applyFont="1" applyFill="1" applyBorder="1">
      <alignment vertical="center"/>
    </xf>
    <xf numFmtId="0" fontId="57" fillId="0" borderId="0" xfId="78" applyFont="1">
      <alignment vertical="center"/>
    </xf>
    <xf numFmtId="0" fontId="86" fillId="0" borderId="0" xfId="2" applyNumberFormat="1" applyFont="1" applyAlignment="1">
      <alignment vertical="center" shrinkToFit="1"/>
    </xf>
    <xf numFmtId="0" fontId="34" fillId="0" borderId="0" xfId="89" applyFont="1">
      <alignment vertical="center"/>
    </xf>
    <xf numFmtId="0" fontId="89" fillId="16" borderId="22" xfId="89" applyFont="1" applyFill="1" applyBorder="1" applyAlignment="1">
      <alignment horizontal="center" vertical="center" wrapText="1"/>
    </xf>
    <xf numFmtId="0" fontId="89" fillId="16" borderId="23" xfId="89" applyFont="1" applyFill="1" applyBorder="1" applyAlignment="1">
      <alignment horizontal="center" vertical="center" wrapText="1"/>
    </xf>
    <xf numFmtId="0" fontId="89" fillId="16" borderId="40" xfId="89" applyFont="1" applyFill="1" applyBorder="1" applyAlignment="1">
      <alignment horizontal="center" vertical="center" wrapText="1"/>
    </xf>
    <xf numFmtId="0" fontId="32" fillId="0" borderId="14" xfId="89" applyFont="1" applyBorder="1" applyAlignment="1">
      <alignment horizontal="center" vertical="center" wrapText="1"/>
    </xf>
    <xf numFmtId="187" fontId="32" fillId="0" borderId="14" xfId="89" applyNumberFormat="1" applyFont="1" applyBorder="1" applyAlignment="1">
      <alignment horizontal="center" vertical="center" wrapText="1"/>
    </xf>
    <xf numFmtId="188" fontId="32" fillId="0" borderId="14" xfId="89" applyNumberFormat="1" applyFont="1" applyBorder="1" applyAlignment="1">
      <alignment horizontal="center" vertical="center" wrapText="1"/>
    </xf>
    <xf numFmtId="3" fontId="32" fillId="0" borderId="32" xfId="89" applyNumberFormat="1" applyFont="1" applyBorder="1" applyAlignment="1">
      <alignment horizontal="right" vertical="center" wrapText="1"/>
    </xf>
    <xf numFmtId="189" fontId="90" fillId="17" borderId="2" xfId="89" applyNumberFormat="1" applyFont="1" applyFill="1" applyBorder="1" applyAlignment="1">
      <alignment horizontal="center" vertical="center" wrapText="1"/>
    </xf>
    <xf numFmtId="0" fontId="90" fillId="17" borderId="1" xfId="89" applyFont="1" applyFill="1" applyBorder="1" applyAlignment="1">
      <alignment horizontal="center" vertical="center" wrapText="1"/>
    </xf>
    <xf numFmtId="0" fontId="90" fillId="17" borderId="1" xfId="89" applyFont="1" applyFill="1" applyBorder="1" applyAlignment="1">
      <alignment horizontal="justify" vertical="center" wrapText="1"/>
    </xf>
    <xf numFmtId="3" fontId="90" fillId="17" borderId="10" xfId="89" applyNumberFormat="1" applyFont="1" applyFill="1" applyBorder="1" applyAlignment="1">
      <alignment horizontal="right" vertical="center" wrapText="1"/>
    </xf>
    <xf numFmtId="185" fontId="90" fillId="0" borderId="20" xfId="89" applyNumberFormat="1" applyFont="1" applyBorder="1" applyAlignment="1">
      <alignment horizontal="center" vertical="center" wrapText="1"/>
    </xf>
    <xf numFmtId="0" fontId="32" fillId="0" borderId="14" xfId="89" applyFont="1" applyBorder="1" applyAlignment="1">
      <alignment horizontal="center" vertical="center" shrinkToFit="1"/>
    </xf>
    <xf numFmtId="186" fontId="32" fillId="0" borderId="14" xfId="89" applyNumberFormat="1" applyFont="1" applyBorder="1" applyAlignment="1">
      <alignment horizontal="right" vertical="center" wrapText="1" indent="1"/>
    </xf>
    <xf numFmtId="0" fontId="90" fillId="17" borderId="31" xfId="89" applyFont="1" applyFill="1" applyBorder="1" applyAlignment="1">
      <alignment horizontal="center" vertical="center" wrapText="1"/>
    </xf>
    <xf numFmtId="0" fontId="90" fillId="17" borderId="6" xfId="89" applyFont="1" applyFill="1" applyBorder="1" applyAlignment="1">
      <alignment horizontal="center" vertical="center" wrapText="1"/>
    </xf>
    <xf numFmtId="0" fontId="90" fillId="17" borderId="6" xfId="89" applyFont="1" applyFill="1" applyBorder="1" applyAlignment="1">
      <alignment horizontal="justify" vertical="center" wrapText="1"/>
    </xf>
    <xf numFmtId="3" fontId="90" fillId="17" borderId="12" xfId="89" applyNumberFormat="1" applyFont="1" applyFill="1" applyBorder="1" applyAlignment="1">
      <alignment horizontal="right" vertical="center" wrapText="1"/>
    </xf>
    <xf numFmtId="185" fontId="32" fillId="0" borderId="2" xfId="88" applyNumberFormat="1" applyFont="1" applyBorder="1" applyAlignment="1">
      <alignment horizontal="center" vertical="center" wrapText="1"/>
    </xf>
    <xf numFmtId="0" fontId="69" fillId="0" borderId="1" xfId="88" applyFont="1" applyBorder="1" applyAlignment="1">
      <alignment horizontal="center" vertical="center" shrinkToFit="1"/>
    </xf>
    <xf numFmtId="0" fontId="32" fillId="0" borderId="1" xfId="88" applyFont="1" applyBorder="1" applyAlignment="1">
      <alignment horizontal="center" vertical="center" shrinkToFit="1"/>
    </xf>
    <xf numFmtId="186" fontId="32" fillId="0" borderId="1" xfId="88" applyNumberFormat="1" applyFont="1" applyBorder="1" applyAlignment="1">
      <alignment horizontal="right" vertical="center" wrapText="1" indent="1"/>
    </xf>
    <xf numFmtId="0" fontId="32" fillId="0" borderId="14" xfId="88" applyFont="1" applyBorder="1" applyAlignment="1">
      <alignment horizontal="center" vertical="center" wrapText="1"/>
    </xf>
    <xf numFmtId="187" fontId="32" fillId="0" borderId="14" xfId="88" applyNumberFormat="1" applyFont="1" applyBorder="1" applyAlignment="1">
      <alignment horizontal="center" vertical="center" wrapText="1"/>
    </xf>
    <xf numFmtId="188" fontId="32" fillId="0" borderId="14" xfId="88" applyNumberFormat="1" applyFont="1" applyBorder="1" applyAlignment="1">
      <alignment horizontal="center" vertical="center" wrapText="1"/>
    </xf>
    <xf numFmtId="3" fontId="32" fillId="0" borderId="32" xfId="88" applyNumberFormat="1" applyFont="1" applyBorder="1" applyAlignment="1">
      <alignment horizontal="right" vertical="center" wrapText="1"/>
    </xf>
    <xf numFmtId="0" fontId="77" fillId="0" borderId="1" xfId="88" applyFont="1" applyBorder="1" applyAlignment="1">
      <alignment horizontal="center" vertical="center" shrinkToFit="1"/>
    </xf>
    <xf numFmtId="0" fontId="0" fillId="3" borderId="96" xfId="0" applyFill="1" applyBorder="1" applyAlignment="1">
      <alignment horizontal="right" vertical="center" wrapText="1"/>
    </xf>
    <xf numFmtId="3" fontId="0" fillId="0" borderId="96" xfId="0" applyNumberFormat="1" applyBorder="1" applyAlignment="1">
      <alignment horizontal="right" vertical="center"/>
    </xf>
    <xf numFmtId="0" fontId="8" fillId="0" borderId="10" xfId="78" applyFont="1" applyBorder="1" applyAlignment="1" applyProtection="1">
      <alignment horizontal="center" vertical="center" shrinkToFit="1"/>
      <protection locked="0"/>
    </xf>
    <xf numFmtId="0" fontId="7" fillId="0" borderId="1" xfId="78" applyFont="1" applyBorder="1" applyAlignment="1" applyProtection="1">
      <alignment horizontal="center" vertical="center" shrinkToFit="1"/>
      <protection locked="0"/>
    </xf>
    <xf numFmtId="0" fontId="6" fillId="0" borderId="1" xfId="78" applyFont="1" applyBorder="1" applyAlignment="1" applyProtection="1">
      <alignment horizontal="center" vertical="center" shrinkToFit="1"/>
      <protection locked="0"/>
    </xf>
    <xf numFmtId="0" fontId="6" fillId="0" borderId="10" xfId="78" applyFont="1" applyBorder="1" applyAlignment="1" applyProtection="1">
      <alignment horizontal="center" vertical="center" shrinkToFit="1"/>
      <protection locked="0"/>
    </xf>
    <xf numFmtId="0" fontId="5" fillId="0" borderId="1" xfId="78" applyFont="1" applyBorder="1" applyAlignment="1" applyProtection="1">
      <alignment horizontal="center" vertical="center" shrinkToFit="1"/>
      <protection locked="0"/>
    </xf>
    <xf numFmtId="0" fontId="4" fillId="0" borderId="1" xfId="78" applyFont="1" applyBorder="1" applyAlignment="1" applyProtection="1">
      <alignment horizontal="center" vertical="center" shrinkToFit="1"/>
      <protection locked="0"/>
    </xf>
    <xf numFmtId="0" fontId="3" fillId="0" borderId="1" xfId="78" applyFont="1" applyBorder="1" applyAlignment="1" applyProtection="1">
      <alignment horizontal="center" vertical="center" shrinkToFit="1"/>
      <protection locked="0"/>
    </xf>
    <xf numFmtId="0" fontId="3" fillId="0" borderId="10" xfId="78" applyFont="1" applyBorder="1" applyAlignment="1" applyProtection="1">
      <alignment horizontal="center" vertical="center" shrinkToFit="1"/>
      <protection locked="0"/>
    </xf>
    <xf numFmtId="0" fontId="2" fillId="0" borderId="10" xfId="78" applyFont="1" applyBorder="1" applyAlignment="1" applyProtection="1">
      <alignment horizontal="center" vertical="center" shrinkToFit="1"/>
      <protection locked="0"/>
    </xf>
    <xf numFmtId="0" fontId="1" fillId="0" borderId="1" xfId="78" applyFont="1" applyBorder="1" applyAlignment="1" applyProtection="1">
      <alignment horizontal="center" vertical="center" shrinkToFit="1"/>
      <protection locked="0"/>
    </xf>
    <xf numFmtId="49" fontId="32" fillId="12" borderId="13" xfId="78" applyNumberFormat="1" applyFont="1" applyFill="1" applyBorder="1" applyAlignment="1">
      <alignment horizontal="center" vertical="center" wrapText="1"/>
    </xf>
    <xf numFmtId="49" fontId="32" fillId="12" borderId="16" xfId="78" applyNumberFormat="1" applyFont="1" applyFill="1" applyBorder="1" applyAlignment="1">
      <alignment horizontal="center" vertical="center" wrapText="1"/>
    </xf>
    <xf numFmtId="49" fontId="32" fillId="12" borderId="14" xfId="78" applyNumberFormat="1" applyFont="1" applyFill="1" applyBorder="1" applyAlignment="1">
      <alignment horizontal="center" vertical="center" wrapText="1"/>
    </xf>
    <xf numFmtId="49" fontId="32" fillId="12" borderId="13" xfId="78" applyNumberFormat="1" applyFont="1" applyFill="1" applyBorder="1" applyAlignment="1">
      <alignment horizontal="center" vertical="center"/>
    </xf>
    <xf numFmtId="49" fontId="32" fillId="12" borderId="16" xfId="78" applyNumberFormat="1" applyFont="1" applyFill="1" applyBorder="1" applyAlignment="1">
      <alignment horizontal="center" vertical="center"/>
    </xf>
    <xf numFmtId="49" fontId="32" fillId="12" borderId="14" xfId="78" applyNumberFormat="1" applyFont="1" applyFill="1" applyBorder="1" applyAlignment="1">
      <alignment horizontal="center" vertical="center"/>
    </xf>
    <xf numFmtId="0" fontId="33" fillId="4" borderId="94" xfId="78" applyFont="1" applyFill="1" applyBorder="1" applyAlignment="1">
      <alignment horizontal="center" vertical="center"/>
    </xf>
    <xf numFmtId="0" fontId="33" fillId="4" borderId="25" xfId="78" applyFont="1" applyFill="1" applyBorder="1" applyAlignment="1">
      <alignment horizontal="center" vertical="center"/>
    </xf>
    <xf numFmtId="0" fontId="33" fillId="10" borderId="26" xfId="78" applyFont="1" applyFill="1" applyBorder="1" applyAlignment="1">
      <alignment horizontal="center" vertical="center"/>
    </xf>
    <xf numFmtId="0" fontId="33" fillId="10" borderId="14" xfId="78" applyFont="1" applyFill="1" applyBorder="1" applyAlignment="1">
      <alignment horizontal="center" vertical="center"/>
    </xf>
    <xf numFmtId="49" fontId="32" fillId="12" borderId="42" xfId="78" applyNumberFormat="1" applyFont="1" applyFill="1" applyBorder="1" applyAlignment="1">
      <alignment horizontal="center" vertical="center" wrapText="1"/>
    </xf>
    <xf numFmtId="0" fontId="58" fillId="0" borderId="30" xfId="78" applyFont="1" applyBorder="1" applyAlignment="1" applyProtection="1">
      <alignment horizontal="center" vertical="center"/>
      <protection locked="0"/>
    </xf>
    <xf numFmtId="0" fontId="58" fillId="0" borderId="28" xfId="78" applyFont="1" applyBorder="1" applyAlignment="1" applyProtection="1">
      <alignment horizontal="center" vertical="center"/>
      <protection locked="0"/>
    </xf>
    <xf numFmtId="0" fontId="58" fillId="0" borderId="38" xfId="78" applyFont="1" applyBorder="1" applyAlignment="1" applyProtection="1">
      <alignment horizontal="center" vertical="center"/>
      <protection locked="0"/>
    </xf>
    <xf numFmtId="0" fontId="0" fillId="8" borderId="9" xfId="78" applyFont="1" applyFill="1" applyBorder="1" applyAlignment="1" applyProtection="1">
      <alignment horizontal="left" vertical="center"/>
      <protection locked="0"/>
    </xf>
    <xf numFmtId="0" fontId="34" fillId="8" borderId="17" xfId="78" applyFont="1" applyFill="1" applyBorder="1" applyAlignment="1" applyProtection="1">
      <alignment horizontal="left" vertical="center"/>
      <protection locked="0"/>
    </xf>
    <xf numFmtId="0" fontId="34" fillId="8" borderId="5" xfId="78" applyFont="1" applyFill="1" applyBorder="1" applyAlignment="1" applyProtection="1">
      <alignment horizontal="left" vertical="center"/>
      <protection locked="0"/>
    </xf>
    <xf numFmtId="0" fontId="0" fillId="8" borderId="9" xfId="78" applyFont="1" applyFill="1" applyBorder="1" applyAlignment="1" applyProtection="1">
      <alignment horizontal="center" vertical="center"/>
      <protection locked="0"/>
    </xf>
    <xf numFmtId="0" fontId="34" fillId="8" borderId="5" xfId="78" applyFont="1" applyFill="1" applyBorder="1" applyAlignment="1" applyProtection="1">
      <alignment horizontal="center" vertical="center"/>
      <protection locked="0"/>
    </xf>
    <xf numFmtId="0" fontId="88" fillId="0" borderId="30" xfId="78" applyFont="1" applyBorder="1" applyAlignment="1">
      <alignment horizontal="center" vertical="center"/>
    </xf>
    <xf numFmtId="0" fontId="88" fillId="0" borderId="28" xfId="78" applyFont="1" applyBorder="1" applyAlignment="1">
      <alignment horizontal="center" vertical="center"/>
    </xf>
    <xf numFmtId="0" fontId="88" fillId="0" borderId="38" xfId="78" applyFont="1" applyBorder="1" applyAlignment="1">
      <alignment horizontal="center" vertical="center"/>
    </xf>
    <xf numFmtId="0" fontId="88" fillId="0" borderId="69" xfId="78" applyFont="1" applyBorder="1" applyAlignment="1">
      <alignment horizontal="center" vertical="center"/>
    </xf>
    <xf numFmtId="0" fontId="88" fillId="0" borderId="24" xfId="78" applyFont="1" applyBorder="1" applyAlignment="1">
      <alignment horizontal="center" vertical="center"/>
    </xf>
    <xf numFmtId="0" fontId="88" fillId="0" borderId="70" xfId="78" applyFont="1" applyBorder="1" applyAlignment="1">
      <alignment horizontal="center" vertical="center"/>
    </xf>
    <xf numFmtId="49" fontId="32" fillId="12" borderId="93" xfId="78" applyNumberFormat="1" applyFont="1" applyFill="1" applyBorder="1" applyAlignment="1">
      <alignment horizontal="center" vertical="center"/>
    </xf>
    <xf numFmtId="0" fontId="0" fillId="8" borderId="9" xfId="124" applyFont="1" applyFill="1" applyBorder="1" applyAlignment="1" applyProtection="1">
      <alignment horizontal="center" vertical="center"/>
      <protection locked="0"/>
    </xf>
    <xf numFmtId="0" fontId="0" fillId="8" borderId="17" xfId="124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>
      <alignment horizontal="center" vertical="center"/>
    </xf>
    <xf numFmtId="0" fontId="74" fillId="0" borderId="24" xfId="0" applyFont="1" applyBorder="1" applyAlignment="1">
      <alignment horizontal="right" vertical="center"/>
    </xf>
    <xf numFmtId="0" fontId="58" fillId="0" borderId="0" xfId="89" applyFont="1" applyAlignment="1">
      <alignment horizontal="center" vertical="center"/>
    </xf>
    <xf numFmtId="0" fontId="0" fillId="0" borderId="0" xfId="89" applyFont="1" applyAlignment="1">
      <alignment horizontal="left" vertical="center"/>
    </xf>
    <xf numFmtId="0" fontId="34" fillId="0" borderId="0" xfId="89" applyFont="1" applyAlignment="1">
      <alignment horizontal="left" vertical="center"/>
    </xf>
    <xf numFmtId="0" fontId="0" fillId="0" borderId="0" xfId="89" applyFont="1" applyAlignment="1">
      <alignment horizontal="right" vertical="center"/>
    </xf>
    <xf numFmtId="0" fontId="34" fillId="0" borderId="0" xfId="89" applyFont="1" applyAlignment="1">
      <alignment horizontal="right" vertical="center"/>
    </xf>
    <xf numFmtId="0" fontId="0" fillId="0" borderId="94" xfId="89" applyFont="1" applyBorder="1" applyAlignment="1">
      <alignment horizontal="left" vertical="center" wrapText="1" indent="1"/>
    </xf>
    <xf numFmtId="0" fontId="0" fillId="0" borderId="25" xfId="89" applyFont="1" applyBorder="1" applyAlignment="1">
      <alignment horizontal="left" vertical="center" wrapText="1" indent="1"/>
    </xf>
    <xf numFmtId="0" fontId="0" fillId="0" borderId="95" xfId="89" applyFont="1" applyBorder="1" applyAlignment="1">
      <alignment horizontal="left" vertical="center" wrapText="1" indent="1"/>
    </xf>
    <xf numFmtId="0" fontId="0" fillId="8" borderId="9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41" fontId="64" fillId="8" borderId="9" xfId="2" applyFont="1" applyFill="1" applyBorder="1" applyAlignment="1">
      <alignment horizontal="center" vertical="center"/>
    </xf>
    <xf numFmtId="41" fontId="64" fillId="8" borderId="17" xfId="2" applyFont="1" applyFill="1" applyBorder="1" applyAlignment="1">
      <alignment horizontal="center" vertical="center"/>
    </xf>
    <xf numFmtId="41" fontId="64" fillId="8" borderId="5" xfId="2" applyFont="1" applyFill="1" applyBorder="1" applyAlignment="1">
      <alignment horizontal="center" vertical="center"/>
    </xf>
    <xf numFmtId="0" fontId="0" fillId="8" borderId="55" xfId="0" applyFill="1" applyBorder="1" applyAlignment="1">
      <alignment horizontal="center" vertical="center"/>
    </xf>
    <xf numFmtId="0" fontId="0" fillId="8" borderId="56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41" fontId="64" fillId="8" borderId="55" xfId="2" applyFont="1" applyFill="1" applyBorder="1" applyAlignment="1">
      <alignment horizontal="center" vertical="center"/>
    </xf>
    <xf numFmtId="41" fontId="64" fillId="8" borderId="56" xfId="2" applyFont="1" applyFill="1" applyBorder="1" applyAlignment="1">
      <alignment horizontal="center" vertical="center"/>
    </xf>
    <xf numFmtId="41" fontId="64" fillId="8" borderId="57" xfId="2" applyFont="1" applyFill="1" applyBorder="1" applyAlignment="1">
      <alignment horizontal="center" vertical="center"/>
    </xf>
    <xf numFmtId="0" fontId="83" fillId="14" borderId="6" xfId="0" applyFont="1" applyFill="1" applyBorder="1" applyAlignment="1">
      <alignment horizontal="center" vertical="center" shrinkToFit="1"/>
    </xf>
    <xf numFmtId="0" fontId="84" fillId="14" borderId="6" xfId="0" applyFont="1" applyFill="1" applyBorder="1" applyAlignment="1">
      <alignment horizontal="left" vertical="center"/>
    </xf>
    <xf numFmtId="0" fontId="84" fillId="14" borderId="12" xfId="0" applyFont="1" applyFill="1" applyBorder="1" applyAlignment="1">
      <alignment horizontal="left" vertical="center"/>
    </xf>
    <xf numFmtId="0" fontId="84" fillId="13" borderId="1" xfId="0" applyFont="1" applyFill="1" applyBorder="1" applyAlignment="1">
      <alignment horizontal="left" vertical="center"/>
    </xf>
    <xf numFmtId="0" fontId="84" fillId="13" borderId="10" xfId="0" applyFont="1" applyFill="1" applyBorder="1" applyAlignment="1">
      <alignment horizontal="left" vertical="center"/>
    </xf>
    <xf numFmtId="49" fontId="85" fillId="8" borderId="41" xfId="78" applyNumberFormat="1" applyFont="1" applyFill="1" applyBorder="1" applyAlignment="1">
      <alignment horizontal="center" vertical="center" wrapText="1"/>
    </xf>
    <xf numFmtId="49" fontId="85" fillId="8" borderId="18" xfId="78" applyNumberFormat="1" applyFont="1" applyFill="1" applyBorder="1" applyAlignment="1">
      <alignment horizontal="center" vertical="center" wrapText="1"/>
    </xf>
    <xf numFmtId="49" fontId="85" fillId="8" borderId="20" xfId="78" applyNumberFormat="1" applyFont="1" applyFill="1" applyBorder="1" applyAlignment="1">
      <alignment horizontal="center" vertical="center" wrapText="1"/>
    </xf>
    <xf numFmtId="49" fontId="85" fillId="12" borderId="83" xfId="78" applyNumberFormat="1" applyFont="1" applyFill="1" applyBorder="1" applyAlignment="1">
      <alignment horizontal="center" vertical="center" wrapText="1"/>
    </xf>
    <xf numFmtId="49" fontId="85" fillId="12" borderId="74" xfId="78" applyNumberFormat="1" applyFont="1" applyFill="1" applyBorder="1" applyAlignment="1">
      <alignment horizontal="center" vertical="center" wrapText="1"/>
    </xf>
    <xf numFmtId="49" fontId="85" fillId="12" borderId="77" xfId="78" applyNumberFormat="1" applyFont="1" applyFill="1" applyBorder="1" applyAlignment="1">
      <alignment horizontal="center" vertical="center" wrapText="1"/>
    </xf>
    <xf numFmtId="49" fontId="85" fillId="12" borderId="81" xfId="78" applyNumberFormat="1" applyFont="1" applyFill="1" applyBorder="1" applyAlignment="1">
      <alignment horizontal="center" vertical="center"/>
    </xf>
    <xf numFmtId="0" fontId="86" fillId="12" borderId="81" xfId="2" applyNumberFormat="1" applyFont="1" applyFill="1" applyBorder="1" applyAlignment="1">
      <alignment horizontal="left" vertical="center" shrinkToFit="1"/>
    </xf>
    <xf numFmtId="0" fontId="86" fillId="12" borderId="82" xfId="2" applyNumberFormat="1" applyFont="1" applyFill="1" applyBorder="1" applyAlignment="1">
      <alignment horizontal="left" vertical="center" shrinkToFit="1"/>
    </xf>
    <xf numFmtId="49" fontId="85" fillId="12" borderId="75" xfId="78" applyNumberFormat="1" applyFont="1" applyFill="1" applyBorder="1" applyAlignment="1">
      <alignment horizontal="center" vertical="center"/>
    </xf>
    <xf numFmtId="0" fontId="86" fillId="12" borderId="85" xfId="2" applyNumberFormat="1" applyFont="1" applyFill="1" applyBorder="1" applyAlignment="1">
      <alignment horizontal="left" vertical="center" shrinkToFit="1"/>
    </xf>
    <xf numFmtId="0" fontId="86" fillId="12" borderId="86" xfId="2" applyNumberFormat="1" applyFont="1" applyFill="1" applyBorder="1" applyAlignment="1">
      <alignment horizontal="left" vertical="center" shrinkToFit="1"/>
    </xf>
    <xf numFmtId="0" fontId="86" fillId="12" borderId="87" xfId="2" applyNumberFormat="1" applyFont="1" applyFill="1" applyBorder="1" applyAlignment="1">
      <alignment horizontal="left" vertical="center" shrinkToFit="1"/>
    </xf>
    <xf numFmtId="49" fontId="85" fillId="12" borderId="78" xfId="78" applyNumberFormat="1" applyFont="1" applyFill="1" applyBorder="1" applyAlignment="1">
      <alignment horizontal="center" vertical="center"/>
    </xf>
    <xf numFmtId="0" fontId="86" fillId="12" borderId="88" xfId="2" applyNumberFormat="1" applyFont="1" applyFill="1" applyBorder="1" applyAlignment="1">
      <alignment horizontal="left" vertical="center" shrinkToFit="1"/>
    </xf>
    <xf numFmtId="0" fontId="86" fillId="12" borderId="89" xfId="2" applyNumberFormat="1" applyFont="1" applyFill="1" applyBorder="1" applyAlignment="1">
      <alignment horizontal="left" vertical="center" shrinkToFit="1"/>
    </xf>
    <xf numFmtId="0" fontId="86" fillId="12" borderId="90" xfId="2" applyNumberFormat="1" applyFont="1" applyFill="1" applyBorder="1" applyAlignment="1">
      <alignment horizontal="left" vertical="center" shrinkToFit="1"/>
    </xf>
    <xf numFmtId="0" fontId="86" fillId="12" borderId="75" xfId="2" applyNumberFormat="1" applyFont="1" applyFill="1" applyBorder="1" applyAlignment="1">
      <alignment horizontal="left" vertical="center" shrinkToFit="1"/>
    </xf>
    <xf numFmtId="0" fontId="86" fillId="12" borderId="76" xfId="2" applyNumberFormat="1" applyFont="1" applyFill="1" applyBorder="1" applyAlignment="1">
      <alignment horizontal="left" vertical="center" shrinkToFit="1"/>
    </xf>
    <xf numFmtId="0" fontId="86" fillId="12" borderId="78" xfId="2" applyNumberFormat="1" applyFont="1" applyFill="1" applyBorder="1" applyAlignment="1">
      <alignment horizontal="left" vertical="center" shrinkToFit="1"/>
    </xf>
    <xf numFmtId="0" fontId="86" fillId="12" borderId="79" xfId="2" applyNumberFormat="1" applyFont="1" applyFill="1" applyBorder="1" applyAlignment="1">
      <alignment horizontal="left" vertical="center" shrinkToFit="1"/>
    </xf>
    <xf numFmtId="0" fontId="86" fillId="12" borderId="84" xfId="2" applyNumberFormat="1" applyFont="1" applyFill="1" applyBorder="1" applyAlignment="1">
      <alignment horizontal="left" vertical="center" shrinkToFit="1"/>
    </xf>
    <xf numFmtId="0" fontId="86" fillId="12" borderId="48" xfId="2" applyNumberFormat="1" applyFont="1" applyFill="1" applyBorder="1" applyAlignment="1">
      <alignment horizontal="left" vertical="center" shrinkToFit="1"/>
    </xf>
    <xf numFmtId="0" fontId="86" fillId="12" borderId="49" xfId="2" applyNumberFormat="1" applyFont="1" applyFill="1" applyBorder="1" applyAlignment="1">
      <alignment horizontal="left" vertical="center" shrinkToFit="1"/>
    </xf>
    <xf numFmtId="0" fontId="62" fillId="5" borderId="27" xfId="0" applyFont="1" applyFill="1" applyBorder="1" applyAlignment="1">
      <alignment horizontal="center" vertical="center"/>
    </xf>
    <xf numFmtId="0" fontId="62" fillId="5" borderId="20" xfId="0" applyFont="1" applyFill="1" applyBorder="1" applyAlignment="1">
      <alignment horizontal="center" vertical="center"/>
    </xf>
    <xf numFmtId="0" fontId="62" fillId="5" borderId="26" xfId="0" applyFont="1" applyFill="1" applyBorder="1" applyAlignment="1">
      <alignment horizontal="center" vertical="center"/>
    </xf>
    <xf numFmtId="0" fontId="62" fillId="5" borderId="14" xfId="0" applyFont="1" applyFill="1" applyBorder="1" applyAlignment="1">
      <alignment horizontal="center" vertical="center"/>
    </xf>
    <xf numFmtId="0" fontId="62" fillId="5" borderId="8" xfId="0" applyFont="1" applyFill="1" applyBorder="1" applyAlignment="1">
      <alignment horizontal="center" vertical="center"/>
    </xf>
    <xf numFmtId="0" fontId="62" fillId="5" borderId="91" xfId="0" applyFont="1" applyFill="1" applyBorder="1" applyAlignment="1">
      <alignment horizontal="center" vertical="center"/>
    </xf>
    <xf numFmtId="0" fontId="62" fillId="5" borderId="19" xfId="0" applyFont="1" applyFill="1" applyBorder="1" applyAlignment="1">
      <alignment horizontal="center" vertical="center"/>
    </xf>
    <xf numFmtId="41" fontId="62" fillId="5" borderId="8" xfId="2" applyFont="1" applyFill="1" applyBorder="1" applyAlignment="1">
      <alignment horizontal="center" vertical="center"/>
    </xf>
    <xf numFmtId="41" fontId="62" fillId="5" borderId="91" xfId="2" applyFont="1" applyFill="1" applyBorder="1" applyAlignment="1">
      <alignment horizontal="center" vertical="center"/>
    </xf>
    <xf numFmtId="41" fontId="62" fillId="5" borderId="92" xfId="2" applyFont="1" applyFill="1" applyBorder="1" applyAlignment="1">
      <alignment horizontal="center" vertical="center"/>
    </xf>
    <xf numFmtId="0" fontId="62" fillId="5" borderId="9" xfId="0" applyFont="1" applyFill="1" applyBorder="1" applyAlignment="1">
      <alignment horizontal="center" vertical="center"/>
    </xf>
    <xf numFmtId="0" fontId="62" fillId="5" borderId="17" xfId="0" applyFont="1" applyFill="1" applyBorder="1" applyAlignment="1">
      <alignment horizontal="center" vertical="center"/>
    </xf>
    <xf numFmtId="0" fontId="62" fillId="5" borderId="4" xfId="0" applyFont="1" applyFill="1" applyBorder="1" applyAlignment="1">
      <alignment horizontal="center" vertical="center"/>
    </xf>
    <xf numFmtId="41" fontId="62" fillId="5" borderId="9" xfId="2" applyFont="1" applyFill="1" applyBorder="1" applyAlignment="1">
      <alignment horizontal="center" vertical="center"/>
    </xf>
    <xf numFmtId="41" fontId="62" fillId="5" borderId="17" xfId="2" applyFont="1" applyFill="1" applyBorder="1" applyAlignment="1">
      <alignment horizontal="center" vertical="center"/>
    </xf>
    <xf numFmtId="41" fontId="62" fillId="5" borderId="5" xfId="2" applyFont="1" applyFill="1" applyBorder="1" applyAlignment="1">
      <alignment horizontal="center" vertical="center"/>
    </xf>
    <xf numFmtId="49" fontId="85" fillId="15" borderId="81" xfId="78" applyNumberFormat="1" applyFont="1" applyFill="1" applyBorder="1" applyAlignment="1">
      <alignment horizontal="center" vertical="center"/>
    </xf>
    <xf numFmtId="0" fontId="87" fillId="15" borderId="81" xfId="2" applyNumberFormat="1" applyFont="1" applyFill="1" applyBorder="1" applyAlignment="1">
      <alignment horizontal="left" vertical="center" shrinkToFit="1"/>
    </xf>
    <xf numFmtId="0" fontId="87" fillId="15" borderId="82" xfId="2" applyNumberFormat="1" applyFont="1" applyFill="1" applyBorder="1" applyAlignment="1">
      <alignment horizontal="left" vertical="center" shrinkToFit="1"/>
    </xf>
    <xf numFmtId="0" fontId="61" fillId="13" borderId="2" xfId="0" applyFont="1" applyFill="1" applyBorder="1" applyAlignment="1">
      <alignment horizontal="center" vertical="center"/>
    </xf>
    <xf numFmtId="0" fontId="83" fillId="13" borderId="1" xfId="0" applyFont="1" applyFill="1" applyBorder="1" applyAlignment="1">
      <alignment horizontal="center" vertical="center" shrinkToFit="1"/>
    </xf>
    <xf numFmtId="49" fontId="85" fillId="12" borderId="80" xfId="78" applyNumberFormat="1" applyFont="1" applyFill="1" applyBorder="1" applyAlignment="1">
      <alignment horizontal="center" vertical="center"/>
    </xf>
    <xf numFmtId="49" fontId="85" fillId="12" borderId="74" xfId="78" applyNumberFormat="1" applyFont="1" applyFill="1" applyBorder="1" applyAlignment="1">
      <alignment horizontal="center" vertical="center"/>
    </xf>
    <xf numFmtId="49" fontId="85" fillId="12" borderId="77" xfId="78" applyNumberFormat="1" applyFont="1" applyFill="1" applyBorder="1" applyAlignment="1">
      <alignment horizontal="center" vertical="center"/>
    </xf>
    <xf numFmtId="49" fontId="85" fillId="12" borderId="72" xfId="78" applyNumberFormat="1" applyFont="1" applyFill="1" applyBorder="1" applyAlignment="1">
      <alignment horizontal="center" vertical="center"/>
    </xf>
    <xf numFmtId="49" fontId="85" fillId="8" borderId="41" xfId="78" applyNumberFormat="1" applyFont="1" applyFill="1" applyBorder="1" applyAlignment="1">
      <alignment horizontal="center" vertical="center"/>
    </xf>
    <xf numFmtId="49" fontId="85" fillId="8" borderId="18" xfId="78" applyNumberFormat="1" applyFont="1" applyFill="1" applyBorder="1" applyAlignment="1">
      <alignment horizontal="center" vertical="center"/>
    </xf>
    <xf numFmtId="49" fontId="85" fillId="8" borderId="20" xfId="78" applyNumberFormat="1" applyFont="1" applyFill="1" applyBorder="1" applyAlignment="1">
      <alignment horizontal="center" vertical="center"/>
    </xf>
    <xf numFmtId="49" fontId="85" fillId="12" borderId="83" xfId="78" applyNumberFormat="1" applyFont="1" applyFill="1" applyBorder="1" applyAlignment="1">
      <alignment horizontal="center" vertical="center"/>
    </xf>
    <xf numFmtId="0" fontId="66" fillId="8" borderId="67" xfId="0" applyFont="1" applyFill="1" applyBorder="1" applyAlignment="1">
      <alignment horizontal="center" vertical="center" shrinkToFit="1"/>
    </xf>
    <xf numFmtId="0" fontId="66" fillId="8" borderId="4" xfId="0" applyFont="1" applyFill="1" applyBorder="1" applyAlignment="1">
      <alignment horizontal="center" vertical="center" shrinkToFit="1"/>
    </xf>
    <xf numFmtId="0" fontId="32" fillId="8" borderId="9" xfId="0" applyFont="1" applyFill="1" applyBorder="1" applyAlignment="1">
      <alignment horizontal="left" vertical="center" indent="1"/>
    </xf>
    <xf numFmtId="0" fontId="32" fillId="8" borderId="17" xfId="0" applyFont="1" applyFill="1" applyBorder="1" applyAlignment="1">
      <alignment horizontal="left" vertical="center" indent="1"/>
    </xf>
    <xf numFmtId="0" fontId="32" fillId="8" borderId="5" xfId="0" applyFont="1" applyFill="1" applyBorder="1" applyAlignment="1">
      <alignment horizontal="left" vertical="center" indent="1"/>
    </xf>
    <xf numFmtId="0" fontId="66" fillId="8" borderId="68" xfId="0" applyFont="1" applyFill="1" applyBorder="1" applyAlignment="1">
      <alignment horizontal="center" vertical="center" shrinkToFit="1"/>
    </xf>
    <xf numFmtId="0" fontId="66" fillId="8" borderId="54" xfId="0" applyFont="1" applyFill="1" applyBorder="1" applyAlignment="1">
      <alignment horizontal="center" vertical="center" shrinkToFit="1"/>
    </xf>
    <xf numFmtId="0" fontId="32" fillId="8" borderId="55" xfId="0" applyFont="1" applyFill="1" applyBorder="1" applyAlignment="1">
      <alignment horizontal="left" vertical="center" indent="1"/>
    </xf>
    <xf numFmtId="0" fontId="32" fillId="8" borderId="56" xfId="0" applyFont="1" applyFill="1" applyBorder="1" applyAlignment="1">
      <alignment horizontal="left" vertical="center" indent="1"/>
    </xf>
    <xf numFmtId="0" fontId="32" fillId="8" borderId="57" xfId="0" applyFont="1" applyFill="1" applyBorder="1" applyAlignment="1">
      <alignment horizontal="left" vertical="center" indent="1"/>
    </xf>
    <xf numFmtId="0" fontId="81" fillId="5" borderId="3" xfId="0" applyFont="1" applyFill="1" applyBorder="1" applyAlignment="1">
      <alignment horizontal="center" vertical="center" wrapText="1"/>
    </xf>
    <xf numFmtId="0" fontId="82" fillId="5" borderId="3" xfId="0" applyFont="1" applyFill="1" applyBorder="1" applyAlignment="1">
      <alignment horizontal="center" vertical="center"/>
    </xf>
    <xf numFmtId="0" fontId="82" fillId="5" borderId="11" xfId="0" applyFont="1" applyFill="1" applyBorder="1" applyAlignment="1">
      <alignment horizontal="center" vertical="center"/>
    </xf>
    <xf numFmtId="0" fontId="83" fillId="11" borderId="35" xfId="0" applyFont="1" applyFill="1" applyBorder="1" applyAlignment="1">
      <alignment horizontal="center" vertical="center" shrinkToFit="1"/>
    </xf>
    <xf numFmtId="0" fontId="84" fillId="11" borderId="35" xfId="0" applyFont="1" applyFill="1" applyBorder="1" applyAlignment="1">
      <alignment horizontal="left" vertical="center"/>
    </xf>
    <xf numFmtId="0" fontId="84" fillId="11" borderId="36" xfId="0" applyFont="1" applyFill="1" applyBorder="1" applyAlignment="1">
      <alignment horizontal="left" vertical="center"/>
    </xf>
    <xf numFmtId="49" fontId="85" fillId="8" borderId="44" xfId="78" applyNumberFormat="1" applyFont="1" applyFill="1" applyBorder="1" applyAlignment="1">
      <alignment horizontal="center" vertical="center"/>
    </xf>
    <xf numFmtId="49" fontId="85" fillId="12" borderId="71" xfId="78" applyNumberFormat="1" applyFont="1" applyFill="1" applyBorder="1" applyAlignment="1">
      <alignment horizontal="center" vertical="center"/>
    </xf>
    <xf numFmtId="0" fontId="86" fillId="12" borderId="72" xfId="2" applyNumberFormat="1" applyFont="1" applyFill="1" applyBorder="1" applyAlignment="1">
      <alignment horizontal="left" vertical="center" shrinkToFit="1"/>
    </xf>
    <xf numFmtId="0" fontId="86" fillId="12" borderId="73" xfId="2" applyNumberFormat="1" applyFont="1" applyFill="1" applyBorder="1" applyAlignment="1">
      <alignment horizontal="left" vertical="center" shrinkToFit="1"/>
    </xf>
    <xf numFmtId="0" fontId="78" fillId="0" borderId="24" xfId="0" applyFont="1" applyBorder="1" applyAlignment="1">
      <alignment horizontal="left" vertical="center"/>
    </xf>
    <xf numFmtId="0" fontId="63" fillId="8" borderId="3" xfId="0" applyFont="1" applyFill="1" applyBorder="1" applyAlignment="1">
      <alignment horizontal="center" vertical="center" shrinkToFit="1"/>
    </xf>
    <xf numFmtId="0" fontId="67" fillId="8" borderId="1" xfId="0" applyFont="1" applyFill="1" applyBorder="1" applyAlignment="1">
      <alignment horizontal="left" vertical="center" shrinkToFit="1"/>
    </xf>
    <xf numFmtId="0" fontId="67" fillId="8" borderId="10" xfId="0" applyFont="1" applyFill="1" applyBorder="1" applyAlignment="1">
      <alignment horizontal="left" vertical="center" shrinkToFit="1"/>
    </xf>
    <xf numFmtId="0" fontId="67" fillId="8" borderId="9" xfId="0" applyFont="1" applyFill="1" applyBorder="1" applyAlignment="1">
      <alignment horizontal="left" vertical="center" shrinkToFit="1"/>
    </xf>
    <xf numFmtId="0" fontId="67" fillId="8" borderId="17" xfId="0" applyFont="1" applyFill="1" applyBorder="1" applyAlignment="1">
      <alignment horizontal="left" vertical="center" shrinkToFit="1"/>
    </xf>
    <xf numFmtId="0" fontId="67" fillId="8" borderId="5" xfId="0" applyFont="1" applyFill="1" applyBorder="1" applyAlignment="1">
      <alignment horizontal="left" vertical="center" shrinkToFit="1"/>
    </xf>
    <xf numFmtId="183" fontId="67" fillId="8" borderId="55" xfId="0" applyNumberFormat="1" applyFont="1" applyFill="1" applyBorder="1" applyAlignment="1">
      <alignment horizontal="center" vertical="center" shrinkToFit="1"/>
    </xf>
    <xf numFmtId="183" fontId="67" fillId="8" borderId="56" xfId="0" applyNumberFormat="1" applyFont="1" applyFill="1" applyBorder="1" applyAlignment="1">
      <alignment horizontal="center" vertical="center" shrinkToFit="1"/>
    </xf>
    <xf numFmtId="183" fontId="67" fillId="8" borderId="57" xfId="0" applyNumberFormat="1" applyFont="1" applyFill="1" applyBorder="1" applyAlignment="1">
      <alignment horizontal="center" vertical="center" shrinkToFit="1"/>
    </xf>
    <xf numFmtId="0" fontId="62" fillId="5" borderId="58" xfId="0" applyFont="1" applyFill="1" applyBorder="1" applyAlignment="1">
      <alignment horizontal="center" vertical="center" wrapText="1"/>
    </xf>
    <xf numFmtId="0" fontId="62" fillId="5" borderId="59" xfId="0" applyFont="1" applyFill="1" applyBorder="1" applyAlignment="1">
      <alignment horizontal="center" vertical="center" wrapText="1"/>
    </xf>
    <xf numFmtId="0" fontId="63" fillId="5" borderId="60" xfId="0" applyFont="1" applyFill="1" applyBorder="1" applyAlignment="1">
      <alignment horizontal="center" vertical="center"/>
    </xf>
    <xf numFmtId="0" fontId="63" fillId="5" borderId="61" xfId="0" applyFont="1" applyFill="1" applyBorder="1" applyAlignment="1">
      <alignment horizontal="center" vertical="center"/>
    </xf>
    <xf numFmtId="0" fontId="63" fillId="5" borderId="62" xfId="0" applyFont="1" applyFill="1" applyBorder="1" applyAlignment="1">
      <alignment horizontal="center" vertical="center"/>
    </xf>
    <xf numFmtId="0" fontId="66" fillId="8" borderId="63" xfId="0" applyFont="1" applyFill="1" applyBorder="1" applyAlignment="1">
      <alignment horizontal="center" vertical="center" shrinkToFit="1"/>
    </xf>
    <xf numFmtId="0" fontId="66" fillId="8" borderId="21" xfId="0" applyFont="1" applyFill="1" applyBorder="1" applyAlignment="1">
      <alignment horizontal="center" vertical="center" shrinkToFit="1"/>
    </xf>
    <xf numFmtId="0" fontId="32" fillId="8" borderId="64" xfId="0" applyFont="1" applyFill="1" applyBorder="1" applyAlignment="1">
      <alignment horizontal="left" vertical="center" indent="1"/>
    </xf>
    <xf numFmtId="0" fontId="32" fillId="8" borderId="65" xfId="0" applyFont="1" applyFill="1" applyBorder="1" applyAlignment="1">
      <alignment horizontal="left" vertical="center" indent="1"/>
    </xf>
    <xf numFmtId="0" fontId="32" fillId="8" borderId="66" xfId="0" applyFont="1" applyFill="1" applyBorder="1" applyAlignment="1">
      <alignment horizontal="left" vertical="center" indent="1"/>
    </xf>
    <xf numFmtId="0" fontId="63" fillId="8" borderId="11" xfId="0" applyFont="1" applyFill="1" applyBorder="1" applyAlignment="1">
      <alignment horizontal="center" vertical="center" shrinkToFit="1"/>
    </xf>
  </cellXfs>
  <cellStyles count="132">
    <cellStyle name="_도로,상,하수 DB구축설계서(2,4급)_2005" xfId="14" xr:uid="{00000000-0005-0000-0000-000000000000}"/>
    <cellStyle name="_보완측량_시설물" xfId="15" xr:uid="{00000000-0005-0000-0000-000001000000}"/>
    <cellStyle name="¤@?e_TEST-1 " xfId="16" xr:uid="{00000000-0005-0000-0000-000002000000}"/>
    <cellStyle name="A¨­￠￢￠O [0]_INQUIRY ￠?￥i¨u¡AAⓒ￢Aⓒª " xfId="17" xr:uid="{00000000-0005-0000-0000-000003000000}"/>
    <cellStyle name="A¨­￠￢￠O_INQUIRY ￠?￥i¨u¡AAⓒ￢Aⓒª " xfId="18" xr:uid="{00000000-0005-0000-0000-000004000000}"/>
    <cellStyle name="AeE­ [0]_AMT " xfId="19" xr:uid="{00000000-0005-0000-0000-000005000000}"/>
    <cellStyle name="AeE­_AMT " xfId="20" xr:uid="{00000000-0005-0000-0000-000006000000}"/>
    <cellStyle name="AeE¡ⓒ [0]_INQUIRY ￠?￥i¨u¡AAⓒ￢Aⓒª " xfId="21" xr:uid="{00000000-0005-0000-0000-000007000000}"/>
    <cellStyle name="AeE¡ⓒ_INQUIRY ￠?￥i¨u¡AAⓒ￢Aⓒª " xfId="22" xr:uid="{00000000-0005-0000-0000-000008000000}"/>
    <cellStyle name="AÞ¸¶ [0]_AN°y(1.25) " xfId="23" xr:uid="{00000000-0005-0000-0000-000009000000}"/>
    <cellStyle name="AÞ¸¶_AN°y(1.25) " xfId="24" xr:uid="{00000000-0005-0000-0000-00000A000000}"/>
    <cellStyle name="C¡IA¨ª_¡ic¨u¡A¨￢I¨￢¡Æ AN¡Æe " xfId="25" xr:uid="{00000000-0005-0000-0000-00000B000000}"/>
    <cellStyle name="C￥AØ_¿μ¾÷CoE² " xfId="26" xr:uid="{00000000-0005-0000-0000-00000C000000}"/>
    <cellStyle name="Comma" xfId="27" xr:uid="{00000000-0005-0000-0000-00000D000000}"/>
    <cellStyle name="Comma [0]_ SG&amp;A Bridge " xfId="28" xr:uid="{00000000-0005-0000-0000-00000E000000}"/>
    <cellStyle name="Comma_ SG&amp;A Bridge " xfId="29" xr:uid="{00000000-0005-0000-0000-00000F000000}"/>
    <cellStyle name="Comma0" xfId="30" xr:uid="{00000000-0005-0000-0000-000010000000}"/>
    <cellStyle name="Curren?_x0012_퐀_x0017_?" xfId="31" xr:uid="{00000000-0005-0000-0000-000011000000}"/>
    <cellStyle name="Currency" xfId="32" xr:uid="{00000000-0005-0000-0000-000012000000}"/>
    <cellStyle name="Currency [0]_ SG&amp;A Bridge " xfId="33" xr:uid="{00000000-0005-0000-0000-000013000000}"/>
    <cellStyle name="Currency_ SG&amp;A Bridge " xfId="34" xr:uid="{00000000-0005-0000-0000-000014000000}"/>
    <cellStyle name="Currency0" xfId="35" xr:uid="{00000000-0005-0000-0000-000015000000}"/>
    <cellStyle name="Date" xfId="36" xr:uid="{00000000-0005-0000-0000-000016000000}"/>
    <cellStyle name="Fixed" xfId="37" xr:uid="{00000000-0005-0000-0000-000017000000}"/>
    <cellStyle name="Grey" xfId="38" xr:uid="{00000000-0005-0000-0000-000018000000}"/>
    <cellStyle name="Header1" xfId="39" xr:uid="{00000000-0005-0000-0000-000019000000}"/>
    <cellStyle name="Header2" xfId="40" xr:uid="{00000000-0005-0000-0000-00001A000000}"/>
    <cellStyle name="Heading 1" xfId="41" xr:uid="{00000000-0005-0000-0000-00001B000000}"/>
    <cellStyle name="Heading 2" xfId="42" xr:uid="{00000000-0005-0000-0000-00001C000000}"/>
    <cellStyle name="Heading1" xfId="43" xr:uid="{00000000-0005-0000-0000-00001D000000}"/>
    <cellStyle name="Heading2" xfId="44" xr:uid="{00000000-0005-0000-0000-00001E000000}"/>
    <cellStyle name="Input [yellow]" xfId="45" xr:uid="{00000000-0005-0000-0000-00001F000000}"/>
    <cellStyle name="Normal - Style1" xfId="46" xr:uid="{00000000-0005-0000-0000-000020000000}"/>
    <cellStyle name="Normal_ SG&amp;A Bridge " xfId="47" xr:uid="{00000000-0005-0000-0000-000021000000}"/>
    <cellStyle name="Percent" xfId="48" xr:uid="{00000000-0005-0000-0000-000022000000}"/>
    <cellStyle name="Percent [2]" xfId="49" xr:uid="{00000000-0005-0000-0000-000023000000}"/>
    <cellStyle name="subhead" xfId="50" xr:uid="{00000000-0005-0000-0000-000024000000}"/>
    <cellStyle name="Total" xfId="51" xr:uid="{00000000-0005-0000-0000-000025000000}"/>
    <cellStyle name="계산 2" xfId="69" xr:uid="{00000000-0005-0000-0000-000026000000}"/>
    <cellStyle name="똿뗦먛귟 [0.00]_PRODUCT DETAIL Q1" xfId="52" xr:uid="{00000000-0005-0000-0000-000027000000}"/>
    <cellStyle name="똿뗦먛귟_PRODUCT DETAIL Q1" xfId="53" xr:uid="{00000000-0005-0000-0000-000028000000}"/>
    <cellStyle name="믅됞 [0.00]_PRODUCT DETAIL Q1" xfId="54" xr:uid="{00000000-0005-0000-0000-000029000000}"/>
    <cellStyle name="믅됞_PRODUCT DETAIL Q1" xfId="55" xr:uid="{00000000-0005-0000-0000-00002A000000}"/>
    <cellStyle name="백분율 2" xfId="56" xr:uid="{00000000-0005-0000-0000-00002B000000}"/>
    <cellStyle name="뷭?_BOOKSHIP" xfId="57" xr:uid="{00000000-0005-0000-0000-00002C000000}"/>
    <cellStyle name="쉼표 [0]" xfId="1" builtinId="6"/>
    <cellStyle name="쉼표 [0] 2" xfId="58" xr:uid="{00000000-0005-0000-0000-00002E000000}"/>
    <cellStyle name="쉼표 [0] 2 2" xfId="102" xr:uid="{24C99E59-2B60-43AE-838C-1B97FB159551}"/>
    <cellStyle name="쉼표 [0] 3" xfId="79" xr:uid="{00000000-0005-0000-0000-00002F000000}"/>
    <cellStyle name="쉼표 [0] 3 2" xfId="119" xr:uid="{18244756-09CD-423A-A28C-40C29D154026}"/>
    <cellStyle name="쉼표 [0] 4" xfId="84" xr:uid="{00000000-0005-0000-0000-000030000000}"/>
    <cellStyle name="쉼표 [0] 4 2" xfId="123" xr:uid="{BC8183FC-AF4A-4E04-8CD3-E924B77DAE5A}"/>
    <cellStyle name="쉼표 [0] 5" xfId="2" xr:uid="{00000000-0005-0000-0000-000031000000}"/>
    <cellStyle name="쉼표 [0] 5 2" xfId="94" xr:uid="{54DD83ED-9892-4270-970C-DDA7CE979DCF}"/>
    <cellStyle name="쉼표 [0] 6" xfId="93" xr:uid="{C01A4931-AF40-4095-8CE8-8DC506E0FB49}"/>
    <cellStyle name="스타일 1" xfId="59" xr:uid="{00000000-0005-0000-0000-000032000000}"/>
    <cellStyle name="콤마 [0]_ 견적기준 FLOW " xfId="60" xr:uid="{00000000-0005-0000-0000-000033000000}"/>
    <cellStyle name="콤마_ 견적기준 FLOW " xfId="61" xr:uid="{00000000-0005-0000-0000-000034000000}"/>
    <cellStyle name="표준" xfId="0" builtinId="0"/>
    <cellStyle name="표준 10" xfId="67" xr:uid="{00000000-0005-0000-0000-000036000000}"/>
    <cellStyle name="표준 10 2" xfId="108" xr:uid="{FE648A06-72C1-4F2F-99B9-3BE3BC1251C7}"/>
    <cellStyle name="표준 11" xfId="70" xr:uid="{00000000-0005-0000-0000-000037000000}"/>
    <cellStyle name="표준 11 2" xfId="110" xr:uid="{DE314693-BFF9-41B6-94F5-5CEEF2A2F84E}"/>
    <cellStyle name="표준 12" xfId="72" xr:uid="{00000000-0005-0000-0000-000038000000}"/>
    <cellStyle name="표준 12 2" xfId="112" xr:uid="{242945F9-E053-4A59-9EAD-76865E040092}"/>
    <cellStyle name="표준 13" xfId="74" xr:uid="{00000000-0005-0000-0000-000039000000}"/>
    <cellStyle name="표준 13 2" xfId="114" xr:uid="{DDFAA414-C0DA-40BA-9234-C0AC3C670A33}"/>
    <cellStyle name="표준 14" xfId="78" xr:uid="{00000000-0005-0000-0000-00003A000000}"/>
    <cellStyle name="표준 14 2" xfId="85" xr:uid="{00000000-0005-0000-0000-00003B000000}"/>
    <cellStyle name="표준 14 2 2" xfId="124" xr:uid="{B4F71DF8-72E0-471C-8B74-01FB9B55528A}"/>
    <cellStyle name="표준 14 3" xfId="118" xr:uid="{6C354123-44E9-4463-87AB-0D9BE442DBB5}"/>
    <cellStyle name="표준 15" xfId="83" xr:uid="{00000000-0005-0000-0000-00003C000000}"/>
    <cellStyle name="표준 15 2" xfId="122" xr:uid="{D11018DC-C54A-47FB-AF87-BF8A83603AB1}"/>
    <cellStyle name="표준 16" xfId="86" xr:uid="{00000000-0005-0000-0000-00003D000000}"/>
    <cellStyle name="표준 16 2" xfId="125" xr:uid="{58D3F756-A796-4192-BE02-231417754452}"/>
    <cellStyle name="표준 17" xfId="87" xr:uid="{00000000-0005-0000-0000-00003E000000}"/>
    <cellStyle name="표준 17 2" xfId="88" xr:uid="{D67D19F4-F83C-45D3-8E01-49D7C4803A51}"/>
    <cellStyle name="표준 17 2 2" xfId="90" xr:uid="{C8A15C35-76BA-4696-9528-7F47DF76733B}"/>
    <cellStyle name="표준 17 2 2 2" xfId="129" xr:uid="{E32DEC9E-6A53-45A5-8285-85875C377C27}"/>
    <cellStyle name="표준 17 2 3" xfId="92" xr:uid="{261E6F4D-3D4D-4BB7-AE3D-CAE176EAE152}"/>
    <cellStyle name="표준 17 2 3 2" xfId="131" xr:uid="{AEA454D1-9294-4D0C-8860-5572D7FC3C57}"/>
    <cellStyle name="표준 17 2 4" xfId="127" xr:uid="{1013B353-29F9-43BD-A702-E2863D23E8BA}"/>
    <cellStyle name="표준 17 3" xfId="89" xr:uid="{EC711AC7-42E9-47E4-875E-AC26C004DC5F}"/>
    <cellStyle name="표준 17 3 2" xfId="128" xr:uid="{73A6989D-E16F-451F-B5CE-6072B1F0AB31}"/>
    <cellStyle name="표준 17 4" xfId="91" xr:uid="{8EB7505C-BE0D-4C4C-A548-7A2771054E0F}"/>
    <cellStyle name="표준 17 4 2" xfId="130" xr:uid="{2C5740FE-B2F2-4788-91AC-D2506015571F}"/>
    <cellStyle name="표준 17 5" xfId="126" xr:uid="{2042AAE8-D334-400D-B8E2-EA50BBEB259A}"/>
    <cellStyle name="표준 2" xfId="3" xr:uid="{00000000-0005-0000-0000-00003F000000}"/>
    <cellStyle name="표준 2 2" xfId="80" xr:uid="{00000000-0005-0000-0000-000040000000}"/>
    <cellStyle name="표준 3" xfId="4" xr:uid="{00000000-0005-0000-0000-000041000000}"/>
    <cellStyle name="표준 3 2" xfId="5" xr:uid="{00000000-0005-0000-0000-000042000000}"/>
    <cellStyle name="표준 4" xfId="6" xr:uid="{00000000-0005-0000-0000-000043000000}"/>
    <cellStyle name="표준 4 2" xfId="7" xr:uid="{00000000-0005-0000-0000-000044000000}"/>
    <cellStyle name="표준 4 2 2" xfId="77" xr:uid="{00000000-0005-0000-0000-000045000000}"/>
    <cellStyle name="표준 4 2 2 2" xfId="117" xr:uid="{60FCABA9-C5C2-4639-85AC-B3D52F295952}"/>
    <cellStyle name="표준 4 2 3" xfId="82" xr:uid="{00000000-0005-0000-0000-000046000000}"/>
    <cellStyle name="표준 4 2 3 2" xfId="121" xr:uid="{77E0B3F2-6E11-4F81-8711-C6D3BD50A4E8}"/>
    <cellStyle name="표준 4 2 4" xfId="96" xr:uid="{7DC4B38C-3BC3-4E79-9A94-608A50910325}"/>
    <cellStyle name="표준 4 3" xfId="76" xr:uid="{00000000-0005-0000-0000-000047000000}"/>
    <cellStyle name="표준 4 3 2" xfId="81" xr:uid="{00000000-0005-0000-0000-000048000000}"/>
    <cellStyle name="표준 4 3 2 2" xfId="120" xr:uid="{4ABEF21A-FF16-4C64-8883-7E4E528C4245}"/>
    <cellStyle name="표준 4 3 3" xfId="116" xr:uid="{A456BD91-129D-4220-8DCB-0497091AF602}"/>
    <cellStyle name="표준 4 4" xfId="95" xr:uid="{9FB0BA0B-D01A-4855-BE4B-35DF5B153BEE}"/>
    <cellStyle name="표준 5" xfId="8" xr:uid="{00000000-0005-0000-0000-000049000000}"/>
    <cellStyle name="표준 5 2" xfId="9" xr:uid="{00000000-0005-0000-0000-00004A000000}"/>
    <cellStyle name="표준 5 2 2" xfId="98" xr:uid="{2B9EF2DA-F597-4635-8127-2CF600535FFA}"/>
    <cellStyle name="표준 5 3" xfId="97" xr:uid="{9AB3DC39-8E50-4946-87E4-860DC187A136}"/>
    <cellStyle name="표준 6" xfId="10" xr:uid="{00000000-0005-0000-0000-00004B000000}"/>
    <cellStyle name="표준 6 2" xfId="11" xr:uid="{00000000-0005-0000-0000-00004C000000}"/>
    <cellStyle name="표준 6 2 2" xfId="100" xr:uid="{56D95357-C174-4F2E-86F8-FD322AF39F3D}"/>
    <cellStyle name="표준 6 3" xfId="99" xr:uid="{78009E53-B60E-4B0F-A45A-6AEBF85EB6E4}"/>
    <cellStyle name="표준 7" xfId="13" xr:uid="{00000000-0005-0000-0000-00004D000000}"/>
    <cellStyle name="표준 7 2" xfId="64" xr:uid="{00000000-0005-0000-0000-00004E000000}"/>
    <cellStyle name="표준 7 2 2" xfId="105" xr:uid="{C79C218E-C65F-4C14-B1A3-16E242A846A6}"/>
    <cellStyle name="표준 7 3" xfId="66" xr:uid="{00000000-0005-0000-0000-00004F000000}"/>
    <cellStyle name="표준 7 3 2" xfId="107" xr:uid="{925AE183-F92F-44E9-BCF8-D60423712967}"/>
    <cellStyle name="표준 7 4" xfId="68" xr:uid="{00000000-0005-0000-0000-000050000000}"/>
    <cellStyle name="표준 7 4 2" xfId="109" xr:uid="{8DF30642-948B-44D0-8E2C-C04E2D664C41}"/>
    <cellStyle name="표준 7 5" xfId="71" xr:uid="{00000000-0005-0000-0000-000051000000}"/>
    <cellStyle name="표준 7 5 2" xfId="111" xr:uid="{132D29F0-C761-4EC7-BA53-F5127178C2D8}"/>
    <cellStyle name="표준 7 6" xfId="73" xr:uid="{00000000-0005-0000-0000-000052000000}"/>
    <cellStyle name="표준 7 6 2" xfId="113" xr:uid="{E1E90CD2-C411-402B-9714-F7FF3ED87DD1}"/>
    <cellStyle name="표준 7 7" xfId="75" xr:uid="{00000000-0005-0000-0000-000053000000}"/>
    <cellStyle name="표준 7 7 2" xfId="115" xr:uid="{E2FBCA27-71B9-4060-943F-5133E9264EC1}"/>
    <cellStyle name="표준 7 8" xfId="101" xr:uid="{AD940AE2-43DA-40AC-9F20-25C5DDDCDB42}"/>
    <cellStyle name="표준 8" xfId="63" xr:uid="{00000000-0005-0000-0000-000054000000}"/>
    <cellStyle name="표준 8 2" xfId="104" xr:uid="{CE9EC766-35DE-46D7-90ED-E1BC31FE7AD9}"/>
    <cellStyle name="표준 9" xfId="65" xr:uid="{00000000-0005-0000-0000-000055000000}"/>
    <cellStyle name="표준 9 2" xfId="106" xr:uid="{F421373C-28F9-432A-8D09-4CA2DEC9C8D0}"/>
    <cellStyle name="하이퍼링크" xfId="12" builtinId="8"/>
    <cellStyle name="합계" xfId="62" xr:uid="{00000000-0005-0000-0000-000057000000}"/>
    <cellStyle name="합계 2" xfId="103" xr:uid="{FAFA01A4-AA15-49BB-A10F-5F4AA0A5632D}"/>
  </cellStyles>
  <dxfs count="0"/>
  <tableStyles count="0" defaultTableStyle="TableStyleMedium9" defaultPivotStyle="PivotStyleLight16"/>
  <colors>
    <mruColors>
      <color rgb="FF99FF99"/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5"/>
  <sheetViews>
    <sheetView zoomScaleNormal="100" workbookViewId="0">
      <selection activeCell="E13" sqref="E13"/>
    </sheetView>
  </sheetViews>
  <sheetFormatPr defaultColWidth="9" defaultRowHeight="16.5"/>
  <cols>
    <col min="1" max="1" width="1.625" style="85" customWidth="1"/>
    <col min="2" max="2" width="4.375" style="86" bestFit="1" customWidth="1"/>
    <col min="3" max="3" width="5.625" style="86" customWidth="1"/>
    <col min="4" max="4" width="11.125" style="86" bestFit="1" customWidth="1"/>
    <col min="5" max="5" width="45.875" style="86" customWidth="1"/>
    <col min="6" max="7" width="10.625" style="86" customWidth="1"/>
    <col min="8" max="8" width="1.625" style="85" customWidth="1"/>
    <col min="9" max="16384" width="9" style="85"/>
  </cols>
  <sheetData>
    <row r="1" spans="2:7" ht="9.9499999999999993" customHeight="1"/>
    <row r="2" spans="2:7" ht="20.25">
      <c r="B2" s="204" t="s">
        <v>111</v>
      </c>
      <c r="C2" s="204"/>
      <c r="D2" s="204"/>
      <c r="E2" s="204"/>
      <c r="F2" s="204"/>
      <c r="G2" s="204"/>
    </row>
    <row r="3" spans="2:7" ht="17.25" thickBot="1">
      <c r="B3" s="205" t="s">
        <v>121</v>
      </c>
      <c r="C3" s="205"/>
      <c r="D3" s="205"/>
      <c r="E3" s="205"/>
      <c r="F3" s="205"/>
      <c r="G3" s="205"/>
    </row>
    <row r="4" spans="2:7">
      <c r="B4" s="71" t="s">
        <v>112</v>
      </c>
      <c r="C4" s="72" t="s">
        <v>113</v>
      </c>
      <c r="D4" s="72" t="s">
        <v>114</v>
      </c>
      <c r="E4" s="73" t="s">
        <v>115</v>
      </c>
      <c r="F4" s="72" t="s">
        <v>116</v>
      </c>
      <c r="G4" s="74" t="s">
        <v>117</v>
      </c>
    </row>
    <row r="5" spans="2:7">
      <c r="B5" s="75">
        <v>1</v>
      </c>
      <c r="C5" s="76">
        <v>1</v>
      </c>
      <c r="D5" s="77">
        <v>42040</v>
      </c>
      <c r="E5" s="87" t="s">
        <v>118</v>
      </c>
      <c r="F5" s="78" t="s">
        <v>119</v>
      </c>
      <c r="G5" s="79"/>
    </row>
    <row r="6" spans="2:7" ht="40.5">
      <c r="B6" s="75">
        <v>2</v>
      </c>
      <c r="C6" s="76">
        <v>1.01</v>
      </c>
      <c r="D6" s="77">
        <v>42041</v>
      </c>
      <c r="E6" s="88" t="s">
        <v>120</v>
      </c>
      <c r="F6" s="78" t="s">
        <v>119</v>
      </c>
      <c r="G6" s="79"/>
    </row>
    <row r="7" spans="2:7" ht="108">
      <c r="B7" s="75">
        <v>3</v>
      </c>
      <c r="C7" s="76">
        <v>1.02</v>
      </c>
      <c r="D7" s="97">
        <v>42046</v>
      </c>
      <c r="E7" s="88" t="s">
        <v>123</v>
      </c>
      <c r="F7" s="78" t="s">
        <v>122</v>
      </c>
      <c r="G7" s="80"/>
    </row>
    <row r="8" spans="2:7">
      <c r="B8" s="75">
        <v>4</v>
      </c>
      <c r="C8" s="98">
        <v>1.5</v>
      </c>
      <c r="D8" s="77">
        <v>42096</v>
      </c>
      <c r="E8" s="87" t="s">
        <v>125</v>
      </c>
      <c r="F8" s="78" t="s">
        <v>122</v>
      </c>
      <c r="G8" s="79" t="s">
        <v>124</v>
      </c>
    </row>
    <row r="9" spans="2:7">
      <c r="B9" s="75">
        <v>5</v>
      </c>
      <c r="C9" s="98">
        <v>1.6</v>
      </c>
      <c r="D9" s="77">
        <v>42139</v>
      </c>
      <c r="E9" s="87" t="s">
        <v>127</v>
      </c>
      <c r="F9" s="78" t="s">
        <v>122</v>
      </c>
      <c r="G9" s="79" t="s">
        <v>124</v>
      </c>
    </row>
    <row r="10" spans="2:7">
      <c r="B10" s="75">
        <v>6</v>
      </c>
      <c r="C10" s="98">
        <v>1.61</v>
      </c>
      <c r="D10" s="77">
        <v>42311</v>
      </c>
      <c r="E10" s="87" t="s">
        <v>128</v>
      </c>
      <c r="F10" s="78" t="s">
        <v>122</v>
      </c>
      <c r="G10" s="79" t="s">
        <v>124</v>
      </c>
    </row>
    <row r="11" spans="2:7">
      <c r="B11" s="75">
        <v>7</v>
      </c>
      <c r="C11" s="100">
        <v>1.63</v>
      </c>
      <c r="D11" s="77">
        <v>42383</v>
      </c>
      <c r="E11" s="101" t="s">
        <v>129</v>
      </c>
      <c r="F11" s="78" t="s">
        <v>122</v>
      </c>
      <c r="G11" s="80"/>
    </row>
    <row r="12" spans="2:7" ht="27">
      <c r="B12" s="75">
        <v>8</v>
      </c>
      <c r="C12" s="100">
        <v>1.71</v>
      </c>
      <c r="D12" s="102">
        <v>42709</v>
      </c>
      <c r="E12" s="101" t="s">
        <v>131</v>
      </c>
      <c r="F12" s="78" t="s">
        <v>130</v>
      </c>
      <c r="G12" s="80"/>
    </row>
    <row r="13" spans="2:7" ht="40.5">
      <c r="B13" s="75">
        <v>9</v>
      </c>
      <c r="C13" s="98">
        <v>2</v>
      </c>
      <c r="D13" s="102">
        <v>43185</v>
      </c>
      <c r="E13" s="88" t="s">
        <v>311</v>
      </c>
      <c r="F13" s="78" t="s">
        <v>312</v>
      </c>
      <c r="G13" s="79" t="s">
        <v>317</v>
      </c>
    </row>
    <row r="14" spans="2:7" ht="17.25" thickBot="1">
      <c r="B14" s="81">
        <v>10</v>
      </c>
      <c r="C14" s="82"/>
      <c r="D14" s="83"/>
      <c r="E14" s="89"/>
      <c r="F14" s="83"/>
      <c r="G14" s="84"/>
    </row>
    <row r="15" spans="2:7" ht="9.9499999999999993" customHeight="1"/>
  </sheetData>
  <mergeCells count="2">
    <mergeCell ref="B2:G2"/>
    <mergeCell ref="B3:G3"/>
  </mergeCells>
  <phoneticPr fontId="30" type="noConversion"/>
  <pageMargins left="0.70866141732283472" right="0.70866141732283472" top="0.74803149606299213" bottom="0.74803149606299213" header="0.31496062992125984" footer="0.31496062992125984"/>
  <pageSetup paperSize="9" scale="87" fitToHeight="1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O155"/>
  <sheetViews>
    <sheetView tabSelected="1" zoomScale="85" zoomScaleNormal="85" zoomScaleSheetLayoutView="85" workbookViewId="0">
      <pane ySplit="8" topLeftCell="A9" activePane="bottomLeft" state="frozenSplit"/>
      <selection activeCell="B1" sqref="B1"/>
      <selection pane="bottomLeft" activeCell="M58" sqref="M58"/>
    </sheetView>
  </sheetViews>
  <sheetFormatPr defaultColWidth="9" defaultRowHeight="16.5"/>
  <cols>
    <col min="1" max="1" width="1.625" style="2" customWidth="1"/>
    <col min="2" max="2" width="13.875" style="2" customWidth="1"/>
    <col min="3" max="3" width="7.5" style="2" bestFit="1" customWidth="1"/>
    <col min="4" max="4" width="20.625" style="2" customWidth="1"/>
    <col min="5" max="5" width="11.5" style="2" bestFit="1" customWidth="1"/>
    <col min="6" max="6" width="26.875" style="2" bestFit="1" customWidth="1"/>
    <col min="7" max="7" width="21.625" style="2" bestFit="1" customWidth="1"/>
    <col min="8" max="8" width="7.125" style="29" customWidth="1"/>
    <col min="9" max="9" width="1.625" style="1" customWidth="1"/>
    <col min="10" max="10" width="10.625" style="2" customWidth="1"/>
    <col min="11" max="11" width="12.625" style="2" customWidth="1"/>
    <col min="12" max="12" width="20.625" style="2" customWidth="1"/>
    <col min="13" max="13" width="65.625" style="2" customWidth="1"/>
    <col min="14" max="14" width="15.625" style="2" customWidth="1"/>
    <col min="15" max="15" width="9.375" style="2" bestFit="1" customWidth="1"/>
    <col min="16" max="16384" width="9" style="2"/>
  </cols>
  <sheetData>
    <row r="1" spans="2:15" ht="9.9499999999999993" customHeight="1" thickBot="1"/>
    <row r="2" spans="2:15" ht="31.5">
      <c r="B2" s="187" t="s">
        <v>340</v>
      </c>
      <c r="C2" s="188"/>
      <c r="D2" s="188"/>
      <c r="E2" s="188"/>
      <c r="F2" s="188"/>
      <c r="G2" s="188"/>
      <c r="H2" s="189"/>
      <c r="K2" s="134"/>
      <c r="L2" s="134"/>
      <c r="M2" s="134"/>
      <c r="N2" s="134"/>
    </row>
    <row r="3" spans="2:15" ht="5.0999999999999996" customHeight="1" thickBot="1">
      <c r="B3" s="3"/>
      <c r="C3" s="4"/>
      <c r="D3" s="4"/>
      <c r="E3" s="4"/>
      <c r="F3" s="4"/>
      <c r="G3" s="4"/>
      <c r="H3" s="5"/>
      <c r="J3" s="134"/>
      <c r="K3" s="134"/>
      <c r="L3" s="134"/>
      <c r="M3" s="134"/>
      <c r="N3" s="134"/>
    </row>
    <row r="4" spans="2:15" ht="22.5" customHeight="1">
      <c r="B4" s="34" t="s">
        <v>2</v>
      </c>
      <c r="C4" s="202" t="s">
        <v>339</v>
      </c>
      <c r="D4" s="203"/>
      <c r="E4" s="203"/>
      <c r="F4" s="99" t="s">
        <v>126</v>
      </c>
      <c r="G4" s="193"/>
      <c r="H4" s="194"/>
      <c r="J4" s="195" t="s">
        <v>335</v>
      </c>
      <c r="K4" s="196"/>
      <c r="L4" s="196"/>
      <c r="M4" s="196"/>
      <c r="N4" s="197"/>
    </row>
    <row r="5" spans="2:15" ht="22.5" customHeight="1" thickBot="1">
      <c r="B5" s="34" t="s">
        <v>3</v>
      </c>
      <c r="C5" s="190" t="s">
        <v>337</v>
      </c>
      <c r="D5" s="191"/>
      <c r="E5" s="191"/>
      <c r="F5" s="191"/>
      <c r="G5" s="191"/>
      <c r="H5" s="192"/>
      <c r="J5" s="198"/>
      <c r="K5" s="199"/>
      <c r="L5" s="199"/>
      <c r="M5" s="199"/>
      <c r="N5" s="200"/>
    </row>
    <row r="6" spans="2:15" ht="5.0999999999999996" customHeight="1">
      <c r="B6" s="6"/>
      <c r="C6" s="7"/>
      <c r="D6" s="7"/>
      <c r="E6" s="7"/>
      <c r="F6" s="7"/>
      <c r="G6" s="7"/>
      <c r="H6" s="8"/>
    </row>
    <row r="7" spans="2:15" ht="5.0999999999999996" customHeight="1" thickBot="1">
      <c r="B7" s="6"/>
      <c r="C7" s="7"/>
      <c r="D7" s="7"/>
      <c r="E7" s="7"/>
      <c r="F7" s="7"/>
      <c r="G7" s="7"/>
      <c r="H7" s="8"/>
    </row>
    <row r="8" spans="2:15" ht="17.25" thickBot="1">
      <c r="B8" s="9" t="s">
        <v>4</v>
      </c>
      <c r="C8" s="10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2" t="s">
        <v>10</v>
      </c>
      <c r="I8" s="13"/>
      <c r="J8" s="33" t="s">
        <v>14</v>
      </c>
      <c r="K8" s="31" t="s">
        <v>17</v>
      </c>
      <c r="L8" s="31" t="s">
        <v>12</v>
      </c>
      <c r="M8" s="31" t="s">
        <v>15</v>
      </c>
      <c r="N8" s="32" t="s">
        <v>16</v>
      </c>
    </row>
    <row r="9" spans="2:15" ht="17.25" thickTop="1">
      <c r="B9" s="164" t="s">
        <v>341</v>
      </c>
      <c r="C9" s="92">
        <v>10</v>
      </c>
      <c r="D9" s="90" t="str">
        <f t="shared" ref="D9:D21" si="0">+VLOOKUP($C9,$J$9:$L$76,3,FALSE)</f>
        <v>회의식대</v>
      </c>
      <c r="E9" s="165">
        <v>7500</v>
      </c>
      <c r="F9" s="172" t="s">
        <v>334</v>
      </c>
      <c r="G9" s="95" t="s">
        <v>336</v>
      </c>
      <c r="H9" s="174" t="s">
        <v>338</v>
      </c>
      <c r="J9" s="128">
        <v>1</v>
      </c>
      <c r="K9" s="201" t="s">
        <v>82</v>
      </c>
      <c r="L9" s="114" t="s">
        <v>145</v>
      </c>
      <c r="M9" s="35" t="s">
        <v>295</v>
      </c>
      <c r="N9" s="123">
        <f t="shared" ref="N9:N40" si="1">+SUMIF($D$9:$D$84,$L9,$E$9:$E$84)</f>
        <v>0</v>
      </c>
    </row>
    <row r="10" spans="2:15">
      <c r="B10" s="164" t="s">
        <v>342</v>
      </c>
      <c r="C10" s="92">
        <v>10</v>
      </c>
      <c r="D10" s="90" t="str">
        <f t="shared" si="0"/>
        <v>회의식대</v>
      </c>
      <c r="E10" s="165">
        <v>7500</v>
      </c>
      <c r="F10" s="172" t="s">
        <v>334</v>
      </c>
      <c r="G10" s="95" t="s">
        <v>336</v>
      </c>
      <c r="H10" s="174" t="s">
        <v>338</v>
      </c>
      <c r="J10" s="116">
        <v>2</v>
      </c>
      <c r="K10" s="180"/>
      <c r="L10" s="117" t="s">
        <v>132</v>
      </c>
      <c r="M10" s="36" t="s">
        <v>297</v>
      </c>
      <c r="N10" s="123">
        <f t="shared" si="1"/>
        <v>0</v>
      </c>
      <c r="O10" s="20"/>
    </row>
    <row r="11" spans="2:15">
      <c r="B11" s="164" t="s">
        <v>343</v>
      </c>
      <c r="C11" s="92">
        <v>10</v>
      </c>
      <c r="D11" s="90" t="str">
        <f t="shared" si="0"/>
        <v>회의식대</v>
      </c>
      <c r="E11" s="165">
        <v>7500</v>
      </c>
      <c r="F11" s="172" t="s">
        <v>334</v>
      </c>
      <c r="G11" s="95" t="s">
        <v>336</v>
      </c>
      <c r="H11" s="174" t="s">
        <v>338</v>
      </c>
      <c r="J11" s="116">
        <v>3</v>
      </c>
      <c r="K11" s="180"/>
      <c r="L11" s="117" t="s">
        <v>148</v>
      </c>
      <c r="M11" s="36" t="s">
        <v>296</v>
      </c>
      <c r="N11" s="123">
        <f t="shared" si="1"/>
        <v>0</v>
      </c>
    </row>
    <row r="12" spans="2:15">
      <c r="B12" s="164" t="s">
        <v>344</v>
      </c>
      <c r="C12" s="92">
        <v>10</v>
      </c>
      <c r="D12" s="90" t="str">
        <f t="shared" si="0"/>
        <v>회의식대</v>
      </c>
      <c r="E12" s="165">
        <v>7500</v>
      </c>
      <c r="F12" s="172" t="s">
        <v>334</v>
      </c>
      <c r="G12" s="95" t="s">
        <v>336</v>
      </c>
      <c r="H12" s="174" t="s">
        <v>338</v>
      </c>
      <c r="J12" s="116">
        <v>4</v>
      </c>
      <c r="K12" s="180"/>
      <c r="L12" s="117" t="s">
        <v>83</v>
      </c>
      <c r="M12" s="36" t="s">
        <v>306</v>
      </c>
      <c r="N12" s="123">
        <f t="shared" si="1"/>
        <v>0</v>
      </c>
    </row>
    <row r="13" spans="2:15">
      <c r="B13" s="164" t="s">
        <v>345</v>
      </c>
      <c r="C13" s="92">
        <v>10</v>
      </c>
      <c r="D13" s="90" t="str">
        <f t="shared" si="0"/>
        <v>회의식대</v>
      </c>
      <c r="E13" s="165">
        <v>7500</v>
      </c>
      <c r="F13" s="172" t="s">
        <v>334</v>
      </c>
      <c r="G13" s="95" t="s">
        <v>336</v>
      </c>
      <c r="H13" s="174" t="s">
        <v>338</v>
      </c>
      <c r="J13" s="116">
        <v>5</v>
      </c>
      <c r="K13" s="181"/>
      <c r="L13" s="117" t="s">
        <v>84</v>
      </c>
      <c r="M13" s="36" t="s">
        <v>104</v>
      </c>
      <c r="N13" s="123">
        <f t="shared" si="1"/>
        <v>0</v>
      </c>
    </row>
    <row r="14" spans="2:15">
      <c r="B14" s="164" t="s">
        <v>346</v>
      </c>
      <c r="C14" s="92">
        <v>10</v>
      </c>
      <c r="D14" s="90" t="str">
        <f t="shared" si="0"/>
        <v>회의식대</v>
      </c>
      <c r="E14" s="165">
        <v>7500</v>
      </c>
      <c r="F14" s="172" t="s">
        <v>334</v>
      </c>
      <c r="G14" s="95" t="s">
        <v>336</v>
      </c>
      <c r="H14" s="174" t="s">
        <v>338</v>
      </c>
      <c r="J14" s="116">
        <v>6</v>
      </c>
      <c r="K14" s="179" t="s">
        <v>81</v>
      </c>
      <c r="L14" s="117" t="s">
        <v>151</v>
      </c>
      <c r="M14" s="35" t="s">
        <v>103</v>
      </c>
      <c r="N14" s="123">
        <f t="shared" si="1"/>
        <v>0</v>
      </c>
    </row>
    <row r="15" spans="2:15">
      <c r="B15" s="164" t="s">
        <v>347</v>
      </c>
      <c r="C15" s="92">
        <v>10</v>
      </c>
      <c r="D15" s="90" t="str">
        <f t="shared" si="0"/>
        <v>회의식대</v>
      </c>
      <c r="E15" s="165">
        <v>7500</v>
      </c>
      <c r="F15" s="172" t="s">
        <v>334</v>
      </c>
      <c r="G15" s="95" t="s">
        <v>336</v>
      </c>
      <c r="H15" s="174" t="s">
        <v>338</v>
      </c>
      <c r="J15" s="116">
        <v>7</v>
      </c>
      <c r="K15" s="180"/>
      <c r="L15" s="117" t="s">
        <v>152</v>
      </c>
      <c r="M15" s="35" t="s">
        <v>103</v>
      </c>
      <c r="N15" s="123">
        <f t="shared" si="1"/>
        <v>0</v>
      </c>
    </row>
    <row r="16" spans="2:15">
      <c r="B16" s="164" t="s">
        <v>352</v>
      </c>
      <c r="C16" s="92">
        <v>65</v>
      </c>
      <c r="D16" s="90" t="str">
        <f t="shared" si="0"/>
        <v>재료비</v>
      </c>
      <c r="E16" s="165">
        <v>33203</v>
      </c>
      <c r="F16" s="175" t="s">
        <v>354</v>
      </c>
      <c r="G16" s="95" t="s">
        <v>336</v>
      </c>
      <c r="H16" s="174" t="s">
        <v>338</v>
      </c>
      <c r="J16" s="116">
        <v>8</v>
      </c>
      <c r="K16" s="181"/>
      <c r="L16" s="117" t="s">
        <v>153</v>
      </c>
      <c r="M16" s="35" t="s">
        <v>103</v>
      </c>
      <c r="N16" s="123">
        <f t="shared" si="1"/>
        <v>0</v>
      </c>
    </row>
    <row r="17" spans="2:14">
      <c r="B17" s="164" t="s">
        <v>348</v>
      </c>
      <c r="C17" s="92">
        <v>10</v>
      </c>
      <c r="D17" s="90" t="str">
        <f t="shared" si="0"/>
        <v>회의식대</v>
      </c>
      <c r="E17" s="165">
        <v>7500</v>
      </c>
      <c r="F17" s="172" t="s">
        <v>334</v>
      </c>
      <c r="G17" s="95" t="s">
        <v>336</v>
      </c>
      <c r="H17" s="174" t="s">
        <v>338</v>
      </c>
      <c r="J17" s="116">
        <v>9</v>
      </c>
      <c r="K17" s="179" t="s">
        <v>18</v>
      </c>
      <c r="L17" s="117" t="s">
        <v>154</v>
      </c>
      <c r="M17" s="36" t="s">
        <v>307</v>
      </c>
      <c r="N17" s="123">
        <f t="shared" si="1"/>
        <v>0</v>
      </c>
    </row>
    <row r="18" spans="2:14">
      <c r="B18" s="164" t="s">
        <v>349</v>
      </c>
      <c r="C18" s="92">
        <v>10</v>
      </c>
      <c r="D18" s="90" t="str">
        <f t="shared" si="0"/>
        <v>회의식대</v>
      </c>
      <c r="E18" s="165">
        <v>7500</v>
      </c>
      <c r="F18" s="172" t="s">
        <v>334</v>
      </c>
      <c r="G18" s="95" t="s">
        <v>336</v>
      </c>
      <c r="H18" s="174" t="s">
        <v>338</v>
      </c>
      <c r="J18" s="116">
        <v>10</v>
      </c>
      <c r="K18" s="180"/>
      <c r="L18" s="117" t="s">
        <v>155</v>
      </c>
      <c r="M18" s="36" t="s">
        <v>308</v>
      </c>
      <c r="N18" s="123">
        <f>+SUMIF($D$9:$D$84,$L18,$E$9:$E$84)</f>
        <v>90000</v>
      </c>
    </row>
    <row r="19" spans="2:14">
      <c r="B19" s="164" t="s">
        <v>350</v>
      </c>
      <c r="C19" s="92">
        <v>10</v>
      </c>
      <c r="D19" s="90" t="str">
        <f t="shared" si="0"/>
        <v>회의식대</v>
      </c>
      <c r="E19" s="165">
        <v>7500</v>
      </c>
      <c r="F19" s="172" t="s">
        <v>334</v>
      </c>
      <c r="G19" s="95" t="s">
        <v>336</v>
      </c>
      <c r="H19" s="174" t="s">
        <v>338</v>
      </c>
      <c r="J19" s="116">
        <v>11</v>
      </c>
      <c r="K19" s="180"/>
      <c r="L19" s="117" t="s">
        <v>156</v>
      </c>
      <c r="M19" s="36" t="s">
        <v>309</v>
      </c>
      <c r="N19" s="123">
        <f t="shared" si="1"/>
        <v>0</v>
      </c>
    </row>
    <row r="20" spans="2:14">
      <c r="B20" s="164" t="s">
        <v>351</v>
      </c>
      <c r="C20" s="92">
        <v>10</v>
      </c>
      <c r="D20" s="90" t="str">
        <f t="shared" si="0"/>
        <v>회의식대</v>
      </c>
      <c r="E20" s="165">
        <v>7500</v>
      </c>
      <c r="F20" s="172" t="s">
        <v>334</v>
      </c>
      <c r="G20" s="95" t="s">
        <v>336</v>
      </c>
      <c r="H20" s="174" t="s">
        <v>338</v>
      </c>
      <c r="J20" s="116">
        <v>12</v>
      </c>
      <c r="K20" s="181"/>
      <c r="L20" s="117" t="s">
        <v>157</v>
      </c>
      <c r="M20" s="36" t="s">
        <v>310</v>
      </c>
      <c r="N20" s="123">
        <f t="shared" si="1"/>
        <v>0</v>
      </c>
    </row>
    <row r="21" spans="2:14">
      <c r="B21" s="164" t="s">
        <v>353</v>
      </c>
      <c r="C21" s="92">
        <v>10</v>
      </c>
      <c r="D21" s="90" t="str">
        <f t="shared" si="0"/>
        <v>회의식대</v>
      </c>
      <c r="E21" s="165">
        <v>7500</v>
      </c>
      <c r="F21" s="172" t="s">
        <v>334</v>
      </c>
      <c r="G21" s="95" t="s">
        <v>336</v>
      </c>
      <c r="H21" s="174" t="s">
        <v>338</v>
      </c>
      <c r="J21" s="116">
        <v>13</v>
      </c>
      <c r="K21" s="179" t="s">
        <v>20</v>
      </c>
      <c r="L21" s="117" t="s">
        <v>159</v>
      </c>
      <c r="M21" s="36" t="s">
        <v>255</v>
      </c>
      <c r="N21" s="123">
        <f t="shared" si="1"/>
        <v>0</v>
      </c>
    </row>
    <row r="22" spans="2:14">
      <c r="B22" s="164"/>
      <c r="C22" s="92"/>
      <c r="D22" s="90"/>
      <c r="E22" s="165"/>
      <c r="F22" s="172"/>
      <c r="G22" s="95"/>
      <c r="H22" s="174"/>
      <c r="J22" s="116">
        <v>14</v>
      </c>
      <c r="K22" s="180"/>
      <c r="L22" s="117" t="s">
        <v>160</v>
      </c>
      <c r="M22" s="36" t="s">
        <v>257</v>
      </c>
      <c r="N22" s="123">
        <f t="shared" si="1"/>
        <v>0</v>
      </c>
    </row>
    <row r="23" spans="2:14">
      <c r="B23" s="164"/>
      <c r="C23" s="92"/>
      <c r="D23" s="90"/>
      <c r="E23" s="165"/>
      <c r="F23" s="172"/>
      <c r="G23" s="95"/>
      <c r="H23" s="174"/>
      <c r="J23" s="116">
        <v>15</v>
      </c>
      <c r="K23" s="180"/>
      <c r="L23" s="117" t="s">
        <v>161</v>
      </c>
      <c r="M23" s="36" t="s">
        <v>256</v>
      </c>
      <c r="N23" s="123">
        <f t="shared" si="1"/>
        <v>0</v>
      </c>
    </row>
    <row r="24" spans="2:14">
      <c r="B24" s="164"/>
      <c r="C24" s="92"/>
      <c r="D24" s="90"/>
      <c r="E24" s="165"/>
      <c r="F24" s="172"/>
      <c r="G24" s="95"/>
      <c r="H24" s="174"/>
      <c r="J24" s="116">
        <v>16</v>
      </c>
      <c r="K24" s="180"/>
      <c r="L24" s="117" t="s">
        <v>162</v>
      </c>
      <c r="M24" s="36" t="s">
        <v>258</v>
      </c>
      <c r="N24" s="123">
        <f t="shared" si="1"/>
        <v>0</v>
      </c>
    </row>
    <row r="25" spans="2:14">
      <c r="B25" s="164"/>
      <c r="C25" s="92"/>
      <c r="D25" s="90"/>
      <c r="E25" s="165"/>
      <c r="F25" s="172"/>
      <c r="G25" s="95"/>
      <c r="H25" s="174"/>
      <c r="J25" s="116">
        <v>17</v>
      </c>
      <c r="K25" s="180"/>
      <c r="L25" s="117" t="s">
        <v>163</v>
      </c>
      <c r="M25" s="36" t="s">
        <v>259</v>
      </c>
      <c r="N25" s="123">
        <f t="shared" si="1"/>
        <v>0</v>
      </c>
    </row>
    <row r="26" spans="2:14">
      <c r="B26" s="164"/>
      <c r="C26" s="92"/>
      <c r="D26" s="90"/>
      <c r="E26" s="165"/>
      <c r="F26" s="172"/>
      <c r="G26" s="95"/>
      <c r="H26" s="174"/>
      <c r="J26" s="116">
        <v>18</v>
      </c>
      <c r="K26" s="180"/>
      <c r="L26" s="117" t="s">
        <v>164</v>
      </c>
      <c r="M26" s="36" t="s">
        <v>260</v>
      </c>
      <c r="N26" s="123">
        <f t="shared" si="1"/>
        <v>0</v>
      </c>
    </row>
    <row r="27" spans="2:14">
      <c r="B27" s="164"/>
      <c r="C27" s="92"/>
      <c r="D27" s="90"/>
      <c r="E27" s="165"/>
      <c r="F27" s="172"/>
      <c r="G27" s="95"/>
      <c r="H27" s="174"/>
      <c r="J27" s="116">
        <v>19</v>
      </c>
      <c r="K27" s="180"/>
      <c r="L27" s="117" t="s">
        <v>165</v>
      </c>
      <c r="M27" s="36" t="s">
        <v>261</v>
      </c>
      <c r="N27" s="123">
        <f t="shared" si="1"/>
        <v>0</v>
      </c>
    </row>
    <row r="28" spans="2:14">
      <c r="B28" s="164"/>
      <c r="C28" s="92"/>
      <c r="D28" s="90"/>
      <c r="E28" s="165"/>
      <c r="F28" s="172"/>
      <c r="G28" s="95"/>
      <c r="H28" s="173"/>
      <c r="J28" s="116">
        <v>20</v>
      </c>
      <c r="K28" s="181"/>
      <c r="L28" s="117" t="s">
        <v>166</v>
      </c>
      <c r="M28" s="36" t="s">
        <v>262</v>
      </c>
      <c r="N28" s="123">
        <f t="shared" si="1"/>
        <v>0</v>
      </c>
    </row>
    <row r="29" spans="2:14">
      <c r="B29" s="164"/>
      <c r="C29" s="92"/>
      <c r="D29" s="90"/>
      <c r="E29" s="165"/>
      <c r="F29" s="172"/>
      <c r="G29" s="95"/>
      <c r="H29" s="173"/>
      <c r="J29" s="116">
        <v>21</v>
      </c>
      <c r="K29" s="179" t="s">
        <v>86</v>
      </c>
      <c r="L29" s="117" t="s">
        <v>167</v>
      </c>
      <c r="M29" s="36" t="s">
        <v>267</v>
      </c>
      <c r="N29" s="123">
        <f t="shared" si="1"/>
        <v>0</v>
      </c>
    </row>
    <row r="30" spans="2:14">
      <c r="B30" s="164"/>
      <c r="C30" s="92"/>
      <c r="D30" s="90"/>
      <c r="E30" s="165"/>
      <c r="F30" s="172"/>
      <c r="G30" s="95"/>
      <c r="H30" s="173"/>
      <c r="J30" s="116">
        <v>22</v>
      </c>
      <c r="K30" s="180"/>
      <c r="L30" s="117" t="s">
        <v>168</v>
      </c>
      <c r="M30" s="36" t="s">
        <v>263</v>
      </c>
      <c r="N30" s="123">
        <f t="shared" si="1"/>
        <v>0</v>
      </c>
    </row>
    <row r="31" spans="2:14">
      <c r="B31" s="164"/>
      <c r="C31" s="92"/>
      <c r="D31" s="90"/>
      <c r="E31" s="165"/>
      <c r="F31" s="171"/>
      <c r="G31" s="95"/>
      <c r="H31" s="166"/>
      <c r="J31" s="116">
        <v>23</v>
      </c>
      <c r="K31" s="180"/>
      <c r="L31" s="117" t="s">
        <v>169</v>
      </c>
      <c r="M31" s="36" t="s">
        <v>264</v>
      </c>
      <c r="N31" s="123">
        <f t="shared" si="1"/>
        <v>0</v>
      </c>
    </row>
    <row r="32" spans="2:14">
      <c r="B32" s="164"/>
      <c r="C32" s="92"/>
      <c r="D32" s="90"/>
      <c r="E32" s="165"/>
      <c r="F32" s="171"/>
      <c r="G32" s="95"/>
      <c r="H32" s="166"/>
      <c r="J32" s="116">
        <v>24</v>
      </c>
      <c r="K32" s="180"/>
      <c r="L32" s="117" t="s">
        <v>170</v>
      </c>
      <c r="M32" s="36" t="s">
        <v>265</v>
      </c>
      <c r="N32" s="123">
        <f t="shared" si="1"/>
        <v>0</v>
      </c>
    </row>
    <row r="33" spans="2:14">
      <c r="B33" s="164"/>
      <c r="C33" s="92"/>
      <c r="D33" s="90"/>
      <c r="E33" s="165"/>
      <c r="F33" s="171"/>
      <c r="G33" s="95"/>
      <c r="H33" s="166"/>
      <c r="J33" s="116">
        <v>25</v>
      </c>
      <c r="K33" s="180"/>
      <c r="L33" s="117" t="s">
        <v>171</v>
      </c>
      <c r="M33" s="36" t="s">
        <v>266</v>
      </c>
      <c r="N33" s="123">
        <f t="shared" si="1"/>
        <v>0</v>
      </c>
    </row>
    <row r="34" spans="2:14">
      <c r="B34" s="164"/>
      <c r="C34" s="92"/>
      <c r="D34" s="90"/>
      <c r="E34" s="165"/>
      <c r="F34" s="171"/>
      <c r="G34" s="95"/>
      <c r="H34" s="166"/>
      <c r="J34" s="116">
        <v>26</v>
      </c>
      <c r="K34" s="181"/>
      <c r="L34" s="117" t="s">
        <v>172</v>
      </c>
      <c r="M34" s="36" t="s">
        <v>268</v>
      </c>
      <c r="N34" s="123">
        <f t="shared" si="1"/>
        <v>0</v>
      </c>
    </row>
    <row r="35" spans="2:14">
      <c r="B35" s="164"/>
      <c r="C35" s="92"/>
      <c r="D35" s="90"/>
      <c r="E35" s="165"/>
      <c r="F35" s="171"/>
      <c r="G35" s="95"/>
      <c r="H35" s="166"/>
      <c r="J35" s="116">
        <v>27</v>
      </c>
      <c r="K35" s="179" t="s">
        <v>87</v>
      </c>
      <c r="L35" s="117" t="s">
        <v>174</v>
      </c>
      <c r="M35" s="36" t="s">
        <v>269</v>
      </c>
      <c r="N35" s="123">
        <f t="shared" si="1"/>
        <v>0</v>
      </c>
    </row>
    <row r="36" spans="2:14">
      <c r="B36" s="164"/>
      <c r="C36" s="92"/>
      <c r="D36" s="90"/>
      <c r="E36" s="165"/>
      <c r="F36" s="171"/>
      <c r="G36" s="95"/>
      <c r="H36" s="166"/>
      <c r="J36" s="116">
        <v>28</v>
      </c>
      <c r="K36" s="180"/>
      <c r="L36" s="117" t="s">
        <v>175</v>
      </c>
      <c r="M36" s="36" t="s">
        <v>105</v>
      </c>
      <c r="N36" s="123">
        <f t="shared" si="1"/>
        <v>0</v>
      </c>
    </row>
    <row r="37" spans="2:14">
      <c r="B37" s="164"/>
      <c r="C37" s="92"/>
      <c r="D37" s="90"/>
      <c r="E37" s="165"/>
      <c r="F37" s="171"/>
      <c r="G37" s="95"/>
      <c r="H37" s="166"/>
      <c r="J37" s="116">
        <v>29</v>
      </c>
      <c r="K37" s="181"/>
      <c r="L37" s="117" t="s">
        <v>176</v>
      </c>
      <c r="M37" s="36" t="s">
        <v>304</v>
      </c>
      <c r="N37" s="123">
        <f t="shared" si="1"/>
        <v>0</v>
      </c>
    </row>
    <row r="38" spans="2:14">
      <c r="B38" s="164"/>
      <c r="C38" s="92"/>
      <c r="D38" s="90"/>
      <c r="E38" s="165"/>
      <c r="F38" s="171"/>
      <c r="G38" s="95"/>
      <c r="H38" s="166"/>
      <c r="J38" s="116">
        <v>30</v>
      </c>
      <c r="K38" s="179" t="s">
        <v>177</v>
      </c>
      <c r="L38" s="117" t="s">
        <v>178</v>
      </c>
      <c r="M38" s="36" t="s">
        <v>270</v>
      </c>
      <c r="N38" s="123">
        <f t="shared" si="1"/>
        <v>0</v>
      </c>
    </row>
    <row r="39" spans="2:14">
      <c r="B39" s="164"/>
      <c r="C39" s="92"/>
      <c r="D39" s="90"/>
      <c r="E39" s="165"/>
      <c r="F39" s="171"/>
      <c r="G39" s="95"/>
      <c r="H39" s="166"/>
      <c r="J39" s="116">
        <v>31</v>
      </c>
      <c r="K39" s="181"/>
      <c r="L39" s="117" t="s">
        <v>179</v>
      </c>
      <c r="M39" s="36" t="s">
        <v>271</v>
      </c>
      <c r="N39" s="123">
        <f t="shared" si="1"/>
        <v>0</v>
      </c>
    </row>
    <row r="40" spans="2:14">
      <c r="B40" s="164"/>
      <c r="C40" s="92"/>
      <c r="D40" s="90"/>
      <c r="E40" s="165"/>
      <c r="F40" s="171"/>
      <c r="G40" s="95"/>
      <c r="H40" s="166"/>
      <c r="J40" s="116">
        <v>32</v>
      </c>
      <c r="K40" s="179" t="s">
        <v>180</v>
      </c>
      <c r="L40" s="117" t="s">
        <v>181</v>
      </c>
      <c r="M40" s="36" t="s">
        <v>272</v>
      </c>
      <c r="N40" s="123">
        <f t="shared" si="1"/>
        <v>0</v>
      </c>
    </row>
    <row r="41" spans="2:14">
      <c r="B41" s="164"/>
      <c r="C41" s="92"/>
      <c r="D41" s="90"/>
      <c r="E41" s="165"/>
      <c r="F41" s="171"/>
      <c r="G41" s="95"/>
      <c r="H41" s="166"/>
      <c r="J41" s="116">
        <v>33</v>
      </c>
      <c r="K41" s="180"/>
      <c r="L41" s="117" t="s">
        <v>183</v>
      </c>
      <c r="M41" s="36" t="s">
        <v>273</v>
      </c>
      <c r="N41" s="123">
        <f t="shared" ref="N41:N66" si="2">+SUMIF($D$9:$D$84,$L41,$E$9:$E$84)</f>
        <v>0</v>
      </c>
    </row>
    <row r="42" spans="2:14">
      <c r="B42" s="164"/>
      <c r="C42" s="92"/>
      <c r="D42" s="90"/>
      <c r="E42" s="165"/>
      <c r="F42" s="171"/>
      <c r="G42" s="95"/>
      <c r="H42" s="166"/>
      <c r="J42" s="116">
        <v>34</v>
      </c>
      <c r="K42" s="181"/>
      <c r="L42" s="117" t="s">
        <v>185</v>
      </c>
      <c r="M42" s="36" t="s">
        <v>274</v>
      </c>
      <c r="N42" s="123">
        <f t="shared" si="2"/>
        <v>0</v>
      </c>
    </row>
    <row r="43" spans="2:14">
      <c r="B43" s="164"/>
      <c r="C43" s="92"/>
      <c r="D43" s="90"/>
      <c r="E43" s="165"/>
      <c r="F43" s="171"/>
      <c r="G43" s="95"/>
      <c r="H43" s="166"/>
      <c r="J43" s="116">
        <v>35</v>
      </c>
      <c r="K43" s="179" t="s">
        <v>187</v>
      </c>
      <c r="L43" s="117" t="s">
        <v>188</v>
      </c>
      <c r="M43" s="36" t="s">
        <v>275</v>
      </c>
      <c r="N43" s="123">
        <f t="shared" si="2"/>
        <v>0</v>
      </c>
    </row>
    <row r="44" spans="2:14">
      <c r="B44" s="164"/>
      <c r="C44" s="92"/>
      <c r="D44" s="90"/>
      <c r="E44" s="165"/>
      <c r="F44" s="171"/>
      <c r="G44" s="95"/>
      <c r="H44" s="166"/>
      <c r="J44" s="116">
        <v>36</v>
      </c>
      <c r="K44" s="181"/>
      <c r="L44" s="117" t="s">
        <v>189</v>
      </c>
      <c r="M44" s="36" t="s">
        <v>276</v>
      </c>
      <c r="N44" s="123">
        <f t="shared" si="2"/>
        <v>0</v>
      </c>
    </row>
    <row r="45" spans="2:14">
      <c r="B45" s="164"/>
      <c r="C45" s="92"/>
      <c r="D45" s="90"/>
      <c r="E45" s="165"/>
      <c r="F45" s="171"/>
      <c r="G45" s="95"/>
      <c r="H45" s="166"/>
      <c r="J45" s="116">
        <v>37</v>
      </c>
      <c r="K45" s="179" t="s">
        <v>13</v>
      </c>
      <c r="L45" s="117" t="s">
        <v>190</v>
      </c>
      <c r="M45" s="36" t="s">
        <v>277</v>
      </c>
      <c r="N45" s="123">
        <f t="shared" si="2"/>
        <v>0</v>
      </c>
    </row>
    <row r="46" spans="2:14">
      <c r="B46" s="164"/>
      <c r="C46" s="92"/>
      <c r="D46" s="90"/>
      <c r="E46" s="165"/>
      <c r="F46" s="171"/>
      <c r="G46" s="95"/>
      <c r="H46" s="166"/>
      <c r="J46" s="116">
        <v>38</v>
      </c>
      <c r="K46" s="180"/>
      <c r="L46" s="117" t="s">
        <v>191</v>
      </c>
      <c r="M46" s="36" t="s">
        <v>278</v>
      </c>
      <c r="N46" s="123">
        <f t="shared" si="2"/>
        <v>0</v>
      </c>
    </row>
    <row r="47" spans="2:14">
      <c r="B47" s="164"/>
      <c r="C47" s="92"/>
      <c r="D47" s="90"/>
      <c r="E47" s="165"/>
      <c r="F47" s="171"/>
      <c r="G47" s="95"/>
      <c r="H47" s="166"/>
      <c r="J47" s="116">
        <v>39</v>
      </c>
      <c r="K47" s="180"/>
      <c r="L47" s="117" t="s">
        <v>192</v>
      </c>
      <c r="M47" s="36" t="s">
        <v>279</v>
      </c>
      <c r="N47" s="123">
        <f t="shared" si="2"/>
        <v>0</v>
      </c>
    </row>
    <row r="48" spans="2:14">
      <c r="B48" s="164"/>
      <c r="C48" s="92"/>
      <c r="D48" s="90"/>
      <c r="E48" s="165"/>
      <c r="F48" s="171"/>
      <c r="G48" s="95"/>
      <c r="H48" s="166"/>
      <c r="J48" s="116">
        <v>40</v>
      </c>
      <c r="K48" s="181"/>
      <c r="L48" s="117" t="s">
        <v>193</v>
      </c>
      <c r="M48" s="36" t="s">
        <v>298</v>
      </c>
      <c r="N48" s="123">
        <f t="shared" si="2"/>
        <v>0</v>
      </c>
    </row>
    <row r="49" spans="2:15">
      <c r="B49" s="164"/>
      <c r="C49" s="92"/>
      <c r="D49" s="90"/>
      <c r="E49" s="165"/>
      <c r="F49" s="171"/>
      <c r="G49" s="95"/>
      <c r="H49" s="166"/>
      <c r="J49" s="116">
        <v>41</v>
      </c>
      <c r="K49" s="179" t="s">
        <v>88</v>
      </c>
      <c r="L49" s="117" t="s">
        <v>194</v>
      </c>
      <c r="M49" s="36" t="s">
        <v>289</v>
      </c>
      <c r="N49" s="123">
        <f t="shared" si="2"/>
        <v>0</v>
      </c>
    </row>
    <row r="50" spans="2:15">
      <c r="B50" s="164"/>
      <c r="C50" s="92"/>
      <c r="D50" s="90"/>
      <c r="E50" s="165"/>
      <c r="F50" s="170"/>
      <c r="G50" s="95"/>
      <c r="H50" s="166"/>
      <c r="J50" s="116">
        <v>42</v>
      </c>
      <c r="K50" s="180"/>
      <c r="L50" s="117" t="s">
        <v>110</v>
      </c>
      <c r="M50" s="36" t="s">
        <v>300</v>
      </c>
      <c r="N50" s="123">
        <f t="shared" si="2"/>
        <v>0</v>
      </c>
    </row>
    <row r="51" spans="2:15">
      <c r="B51" s="164"/>
      <c r="C51" s="92"/>
      <c r="D51" s="90"/>
      <c r="E51" s="165"/>
      <c r="F51" s="170"/>
      <c r="G51" s="95"/>
      <c r="H51" s="166"/>
      <c r="J51" s="116">
        <v>43</v>
      </c>
      <c r="K51" s="180"/>
      <c r="L51" s="117" t="s">
        <v>196</v>
      </c>
      <c r="M51" s="36" t="s">
        <v>301</v>
      </c>
      <c r="N51" s="123">
        <f t="shared" si="2"/>
        <v>0</v>
      </c>
    </row>
    <row r="52" spans="2:15">
      <c r="B52" s="164"/>
      <c r="C52" s="92"/>
      <c r="D52" s="90"/>
      <c r="E52" s="165"/>
      <c r="F52" s="170"/>
      <c r="G52" s="95"/>
      <c r="H52" s="166"/>
      <c r="J52" s="116">
        <v>44</v>
      </c>
      <c r="K52" s="180"/>
      <c r="L52" s="117" t="s">
        <v>249</v>
      </c>
      <c r="M52" s="36" t="s">
        <v>303</v>
      </c>
      <c r="N52" s="123">
        <f t="shared" si="2"/>
        <v>0</v>
      </c>
    </row>
    <row r="53" spans="2:15">
      <c r="B53" s="164"/>
      <c r="C53" s="92"/>
      <c r="D53" s="90"/>
      <c r="E53" s="165"/>
      <c r="F53" s="168"/>
      <c r="G53" s="95"/>
      <c r="H53" s="166"/>
      <c r="J53" s="116">
        <v>45</v>
      </c>
      <c r="K53" s="181"/>
      <c r="L53" s="117" t="s">
        <v>250</v>
      </c>
      <c r="M53" s="36" t="s">
        <v>302</v>
      </c>
      <c r="N53" s="123">
        <f t="shared" si="2"/>
        <v>0</v>
      </c>
    </row>
    <row r="54" spans="2:15">
      <c r="B54" s="164"/>
      <c r="C54" s="92"/>
      <c r="D54" s="90"/>
      <c r="E54" s="165"/>
      <c r="F54" s="168"/>
      <c r="G54" s="95"/>
      <c r="H54" s="166"/>
      <c r="J54" s="116">
        <v>46</v>
      </c>
      <c r="K54" s="179" t="s">
        <v>21</v>
      </c>
      <c r="L54" s="117" t="s">
        <v>200</v>
      </c>
      <c r="M54" s="36" t="s">
        <v>283</v>
      </c>
      <c r="N54" s="123">
        <f t="shared" si="2"/>
        <v>0</v>
      </c>
    </row>
    <row r="55" spans="2:15">
      <c r="B55" s="164"/>
      <c r="C55" s="92"/>
      <c r="D55" s="90"/>
      <c r="E55" s="165"/>
      <c r="F55" s="168"/>
      <c r="G55" s="95"/>
      <c r="H55" s="166"/>
      <c r="J55" s="116">
        <v>47</v>
      </c>
      <c r="K55" s="180"/>
      <c r="L55" s="117" t="s">
        <v>202</v>
      </c>
      <c r="M55" s="36" t="s">
        <v>281</v>
      </c>
      <c r="N55" s="123">
        <f t="shared" si="2"/>
        <v>0</v>
      </c>
    </row>
    <row r="56" spans="2:15">
      <c r="B56" s="164"/>
      <c r="C56" s="92"/>
      <c r="D56" s="90"/>
      <c r="E56" s="165"/>
      <c r="F56" s="168"/>
      <c r="G56" s="95"/>
      <c r="H56" s="166"/>
      <c r="J56" s="116">
        <v>48</v>
      </c>
      <c r="K56" s="180"/>
      <c r="L56" s="117" t="s">
        <v>204</v>
      </c>
      <c r="M56" s="36" t="s">
        <v>282</v>
      </c>
      <c r="N56" s="123">
        <f t="shared" si="2"/>
        <v>0</v>
      </c>
    </row>
    <row r="57" spans="2:15">
      <c r="B57" s="164"/>
      <c r="C57" s="92"/>
      <c r="D57" s="90"/>
      <c r="E57" s="165"/>
      <c r="F57" s="168"/>
      <c r="G57" s="95"/>
      <c r="H57" s="166"/>
      <c r="J57" s="116">
        <v>49</v>
      </c>
      <c r="K57" s="181"/>
      <c r="L57" s="117" t="s">
        <v>19</v>
      </c>
      <c r="M57" s="36" t="s">
        <v>299</v>
      </c>
      <c r="N57" s="123">
        <f t="shared" si="2"/>
        <v>0</v>
      </c>
      <c r="O57" s="70"/>
    </row>
    <row r="58" spans="2:15">
      <c r="B58" s="164"/>
      <c r="C58" s="92"/>
      <c r="D58" s="90"/>
      <c r="E58" s="165"/>
      <c r="F58" s="168"/>
      <c r="G58" s="95"/>
      <c r="H58" s="166"/>
      <c r="J58" s="116">
        <v>50</v>
      </c>
      <c r="K58" s="176" t="s">
        <v>305</v>
      </c>
      <c r="L58" s="117" t="s">
        <v>22</v>
      </c>
      <c r="M58" s="36" t="s">
        <v>280</v>
      </c>
      <c r="N58" s="123">
        <f t="shared" si="2"/>
        <v>0</v>
      </c>
    </row>
    <row r="59" spans="2:15">
      <c r="B59" s="164"/>
      <c r="C59" s="92"/>
      <c r="D59" s="90"/>
      <c r="E59" s="165"/>
      <c r="F59" s="168"/>
      <c r="G59" s="95"/>
      <c r="H59" s="166"/>
      <c r="J59" s="116">
        <v>51</v>
      </c>
      <c r="K59" s="177"/>
      <c r="L59" s="117" t="s">
        <v>207</v>
      </c>
      <c r="M59" s="36" t="s">
        <v>284</v>
      </c>
      <c r="N59" s="123">
        <f t="shared" si="2"/>
        <v>0</v>
      </c>
    </row>
    <row r="60" spans="2:15">
      <c r="B60" s="164"/>
      <c r="C60" s="92"/>
      <c r="D60" s="90"/>
      <c r="E60" s="165"/>
      <c r="F60" s="168"/>
      <c r="G60" s="95"/>
      <c r="H60" s="166"/>
      <c r="J60" s="116">
        <v>52</v>
      </c>
      <c r="K60" s="177"/>
      <c r="L60" s="117" t="s">
        <v>90</v>
      </c>
      <c r="M60" s="36" t="s">
        <v>106</v>
      </c>
      <c r="N60" s="123">
        <f t="shared" si="2"/>
        <v>0</v>
      </c>
    </row>
    <row r="61" spans="2:15">
      <c r="B61" s="164"/>
      <c r="C61" s="92"/>
      <c r="D61" s="90"/>
      <c r="E61" s="165"/>
      <c r="F61" s="168"/>
      <c r="G61" s="95"/>
      <c r="H61" s="166"/>
      <c r="J61" s="116">
        <v>53</v>
      </c>
      <c r="K61" s="178"/>
      <c r="L61" s="117" t="s">
        <v>92</v>
      </c>
      <c r="M61" s="36" t="s">
        <v>285</v>
      </c>
      <c r="N61" s="123">
        <f t="shared" si="2"/>
        <v>0</v>
      </c>
    </row>
    <row r="62" spans="2:15">
      <c r="B62" s="164"/>
      <c r="C62" s="92"/>
      <c r="D62" s="90"/>
      <c r="E62" s="165"/>
      <c r="F62" s="168"/>
      <c r="G62" s="95"/>
      <c r="H62" s="166"/>
      <c r="J62" s="116">
        <v>54</v>
      </c>
      <c r="K62" s="176" t="s">
        <v>210</v>
      </c>
      <c r="L62" s="117" t="s">
        <v>197</v>
      </c>
      <c r="M62" s="36" t="s">
        <v>290</v>
      </c>
      <c r="N62" s="123">
        <f t="shared" si="2"/>
        <v>0</v>
      </c>
    </row>
    <row r="63" spans="2:15">
      <c r="B63" s="164"/>
      <c r="C63" s="92"/>
      <c r="D63" s="90"/>
      <c r="E63" s="165"/>
      <c r="F63" s="168"/>
      <c r="G63" s="95"/>
      <c r="H63" s="169"/>
      <c r="J63" s="116">
        <v>55</v>
      </c>
      <c r="K63" s="177"/>
      <c r="L63" s="117" t="s">
        <v>199</v>
      </c>
      <c r="M63" s="36" t="s">
        <v>291</v>
      </c>
      <c r="N63" s="123">
        <f t="shared" si="2"/>
        <v>0</v>
      </c>
    </row>
    <row r="64" spans="2:15">
      <c r="B64" s="164"/>
      <c r="C64" s="92"/>
      <c r="D64" s="90"/>
      <c r="E64" s="165"/>
      <c r="F64" s="167"/>
      <c r="G64" s="95"/>
      <c r="H64" s="166"/>
      <c r="J64" s="116">
        <v>56</v>
      </c>
      <c r="K64" s="177"/>
      <c r="L64" s="117" t="s">
        <v>213</v>
      </c>
      <c r="M64" s="36" t="s">
        <v>292</v>
      </c>
      <c r="N64" s="123">
        <f t="shared" si="2"/>
        <v>0</v>
      </c>
    </row>
    <row r="65" spans="2:14">
      <c r="B65" s="164"/>
      <c r="C65" s="92"/>
      <c r="D65" s="90"/>
      <c r="E65" s="165"/>
      <c r="F65" s="167"/>
      <c r="G65" s="95"/>
      <c r="H65" s="166"/>
      <c r="I65" s="115"/>
      <c r="J65" s="116">
        <v>57</v>
      </c>
      <c r="K65" s="177"/>
      <c r="L65" s="117" t="s">
        <v>215</v>
      </c>
      <c r="M65" s="36" t="s">
        <v>293</v>
      </c>
      <c r="N65" s="123">
        <f t="shared" si="2"/>
        <v>0</v>
      </c>
    </row>
    <row r="66" spans="2:14">
      <c r="B66" s="164"/>
      <c r="C66" s="92"/>
      <c r="D66" s="90"/>
      <c r="E66" s="165"/>
      <c r="F66" s="167"/>
      <c r="G66" s="95"/>
      <c r="H66" s="166"/>
      <c r="I66" s="115"/>
      <c r="J66" s="116">
        <v>58</v>
      </c>
      <c r="K66" s="178"/>
      <c r="L66" s="117" t="s">
        <v>217</v>
      </c>
      <c r="M66" s="36" t="s">
        <v>294</v>
      </c>
      <c r="N66" s="123">
        <f t="shared" si="2"/>
        <v>0</v>
      </c>
    </row>
    <row r="67" spans="2:14">
      <c r="B67" s="164"/>
      <c r="C67" s="92"/>
      <c r="D67" s="90"/>
      <c r="E67" s="165"/>
      <c r="F67" s="167"/>
      <c r="G67" s="95"/>
      <c r="H67" s="166"/>
      <c r="I67" s="115"/>
      <c r="J67" s="116">
        <v>59</v>
      </c>
      <c r="K67" s="176" t="s">
        <v>219</v>
      </c>
      <c r="L67" s="131" t="s">
        <v>220</v>
      </c>
      <c r="M67" s="132" t="s">
        <v>286</v>
      </c>
      <c r="N67" s="133"/>
    </row>
    <row r="68" spans="2:14">
      <c r="B68" s="164"/>
      <c r="C68" s="92"/>
      <c r="D68" s="90"/>
      <c r="E68" s="165"/>
      <c r="F68" s="167"/>
      <c r="G68" s="95"/>
      <c r="H68" s="166"/>
      <c r="I68" s="115"/>
      <c r="J68" s="116">
        <v>60</v>
      </c>
      <c r="K68" s="177"/>
      <c r="L68" s="117" t="s">
        <v>222</v>
      </c>
      <c r="M68" s="36" t="s">
        <v>287</v>
      </c>
      <c r="N68" s="123">
        <f t="shared" ref="N68:N76" si="3">+SUMIF($D$9:$D$84,$L68,$E$9:$E$84)</f>
        <v>0</v>
      </c>
    </row>
    <row r="69" spans="2:14">
      <c r="B69" s="164"/>
      <c r="C69" s="92"/>
      <c r="D69" s="90"/>
      <c r="E69" s="165"/>
      <c r="F69" s="167"/>
      <c r="G69" s="95"/>
      <c r="H69" s="166"/>
      <c r="I69" s="115"/>
      <c r="J69" s="116">
        <v>61</v>
      </c>
      <c r="K69" s="177"/>
      <c r="L69" s="117" t="s">
        <v>224</v>
      </c>
      <c r="M69" s="36" t="s">
        <v>225</v>
      </c>
      <c r="N69" s="123">
        <f t="shared" si="3"/>
        <v>0</v>
      </c>
    </row>
    <row r="70" spans="2:14" ht="17.25" thickBot="1">
      <c r="B70" s="164"/>
      <c r="C70" s="92"/>
      <c r="D70" s="90"/>
      <c r="E70" s="165"/>
      <c r="F70" s="167"/>
      <c r="G70" s="95"/>
      <c r="H70" s="166"/>
      <c r="J70" s="129">
        <v>62</v>
      </c>
      <c r="K70" s="186"/>
      <c r="L70" s="119" t="s">
        <v>226</v>
      </c>
      <c r="M70" s="120" t="s">
        <v>288</v>
      </c>
      <c r="N70" s="123">
        <f t="shared" si="3"/>
        <v>0</v>
      </c>
    </row>
    <row r="71" spans="2:14">
      <c r="B71" s="164"/>
      <c r="C71" s="92"/>
      <c r="D71" s="90"/>
      <c r="E71" s="165"/>
      <c r="F71" s="167"/>
      <c r="G71" s="95"/>
      <c r="H71" s="166"/>
      <c r="J71" s="130">
        <v>63</v>
      </c>
      <c r="K71" s="184" t="s">
        <v>1</v>
      </c>
      <c r="L71" s="104" t="s">
        <v>24</v>
      </c>
      <c r="M71" s="124" t="s">
        <v>107</v>
      </c>
      <c r="N71" s="125">
        <f t="shared" si="3"/>
        <v>0</v>
      </c>
    </row>
    <row r="72" spans="2:14">
      <c r="B72" s="164"/>
      <c r="C72" s="92"/>
      <c r="D72" s="90"/>
      <c r="E72" s="165"/>
      <c r="F72" s="167"/>
      <c r="G72" s="95"/>
      <c r="H72" s="166"/>
      <c r="J72" s="116">
        <v>64</v>
      </c>
      <c r="K72" s="185"/>
      <c r="L72" s="103" t="s">
        <v>25</v>
      </c>
      <c r="M72" s="121" t="s">
        <v>108</v>
      </c>
      <c r="N72" s="126">
        <f t="shared" si="3"/>
        <v>0</v>
      </c>
    </row>
    <row r="73" spans="2:14" ht="17.25" thickBot="1">
      <c r="B73" s="164"/>
      <c r="C73" s="92"/>
      <c r="D73" s="90"/>
      <c r="E73" s="165"/>
      <c r="F73" s="167"/>
      <c r="G73" s="95"/>
      <c r="H73" s="166"/>
      <c r="J73" s="129">
        <v>65</v>
      </c>
      <c r="K73" s="38" t="s">
        <v>23</v>
      </c>
      <c r="L73" s="38" t="s">
        <v>23</v>
      </c>
      <c r="M73" s="127" t="s">
        <v>109</v>
      </c>
      <c r="N73" s="122">
        <f t="shared" si="3"/>
        <v>33203</v>
      </c>
    </row>
    <row r="74" spans="2:14">
      <c r="B74" s="164"/>
      <c r="C74" s="92"/>
      <c r="D74" s="90"/>
      <c r="E74" s="165"/>
      <c r="F74" s="167"/>
      <c r="G74" s="95"/>
      <c r="H74" s="166"/>
      <c r="J74" s="130">
        <v>66</v>
      </c>
      <c r="K74" s="184" t="s">
        <v>251</v>
      </c>
      <c r="L74" s="104" t="s">
        <v>253</v>
      </c>
      <c r="M74" s="124" t="s">
        <v>107</v>
      </c>
      <c r="N74" s="125">
        <f t="shared" si="3"/>
        <v>0</v>
      </c>
    </row>
    <row r="75" spans="2:14">
      <c r="B75" s="164"/>
      <c r="C75" s="92"/>
      <c r="D75" s="90"/>
      <c r="E75" s="165"/>
      <c r="F75" s="167"/>
      <c r="G75" s="95"/>
      <c r="H75" s="166"/>
      <c r="J75" s="116">
        <v>67</v>
      </c>
      <c r="K75" s="185"/>
      <c r="L75" s="103" t="s">
        <v>254</v>
      </c>
      <c r="M75" s="121" t="s">
        <v>108</v>
      </c>
      <c r="N75" s="126">
        <f t="shared" si="3"/>
        <v>0</v>
      </c>
    </row>
    <row r="76" spans="2:14" ht="17.25" thickBot="1">
      <c r="B76" s="164"/>
      <c r="C76" s="92"/>
      <c r="D76" s="90"/>
      <c r="E76" s="165"/>
      <c r="F76" s="167"/>
      <c r="G76" s="95"/>
      <c r="H76" s="166"/>
      <c r="J76" s="118">
        <v>68</v>
      </c>
      <c r="K76" s="38" t="s">
        <v>252</v>
      </c>
      <c r="L76" s="38" t="s">
        <v>252</v>
      </c>
      <c r="M76" s="127" t="s">
        <v>109</v>
      </c>
      <c r="N76" s="122">
        <f t="shared" si="3"/>
        <v>0</v>
      </c>
    </row>
    <row r="77" spans="2:14" ht="17.25" thickBot="1">
      <c r="B77" s="91"/>
      <c r="C77" s="92"/>
      <c r="D77" s="90"/>
      <c r="E77" s="93"/>
      <c r="F77" s="94"/>
      <c r="G77" s="95"/>
      <c r="H77" s="96"/>
      <c r="J77" s="182" t="s">
        <v>0</v>
      </c>
      <c r="K77" s="183"/>
      <c r="L77" s="183"/>
      <c r="M77" s="37"/>
      <c r="N77" s="30">
        <f>SUM(N9:N76)</f>
        <v>123203</v>
      </c>
    </row>
    <row r="78" spans="2:14" ht="16.5" customHeight="1">
      <c r="B78" s="91"/>
      <c r="C78" s="92"/>
      <c r="D78" s="90"/>
      <c r="E78" s="93"/>
      <c r="F78" s="94"/>
      <c r="G78" s="95"/>
      <c r="H78" s="96"/>
    </row>
    <row r="79" spans="2:14" ht="16.5" customHeight="1">
      <c r="B79" s="91"/>
      <c r="C79" s="92"/>
      <c r="D79" s="90"/>
      <c r="E79" s="93"/>
      <c r="F79" s="94"/>
      <c r="G79" s="95"/>
      <c r="H79" s="96"/>
    </row>
    <row r="80" spans="2:14" ht="26.25" customHeight="1">
      <c r="B80" s="91"/>
      <c r="C80" s="92"/>
      <c r="D80" s="90"/>
      <c r="E80" s="93"/>
      <c r="F80" s="94"/>
      <c r="G80" s="95"/>
      <c r="H80" s="96"/>
    </row>
    <row r="81" spans="2:8" ht="26.25" customHeight="1">
      <c r="B81" s="91"/>
      <c r="C81" s="92"/>
      <c r="D81" s="90"/>
      <c r="E81" s="93"/>
      <c r="F81" s="94"/>
      <c r="G81" s="95"/>
      <c r="H81" s="96"/>
    </row>
    <row r="82" spans="2:8" ht="26.25" customHeight="1">
      <c r="B82" s="91"/>
      <c r="C82" s="92"/>
      <c r="D82" s="90"/>
      <c r="E82" s="93"/>
      <c r="F82" s="94"/>
      <c r="G82" s="95"/>
      <c r="H82" s="96"/>
    </row>
    <row r="83" spans="2:8" ht="26.25" customHeight="1">
      <c r="B83" s="91"/>
      <c r="C83" s="92"/>
      <c r="D83" s="90"/>
      <c r="E83" s="93"/>
      <c r="F83" s="94"/>
      <c r="G83" s="95"/>
      <c r="H83" s="96"/>
    </row>
    <row r="84" spans="2:8" ht="26.25" customHeight="1">
      <c r="B84" s="91"/>
      <c r="C84" s="92"/>
      <c r="D84" s="90"/>
      <c r="E84" s="93"/>
      <c r="F84" s="94"/>
      <c r="G84" s="95"/>
      <c r="H84" s="96"/>
    </row>
    <row r="85" spans="2:8" ht="26.25" customHeight="1">
      <c r="B85" s="14"/>
      <c r="C85" s="21"/>
      <c r="D85" s="15"/>
      <c r="E85" s="16"/>
      <c r="F85" s="17"/>
      <c r="G85" s="18"/>
      <c r="H85" s="19"/>
    </row>
    <row r="86" spans="2:8" ht="26.25" customHeight="1" thickBot="1">
      <c r="B86" s="22"/>
      <c r="C86" s="23"/>
      <c r="D86" s="24"/>
      <c r="E86" s="25">
        <f>SUM(E9:E85)</f>
        <v>123203</v>
      </c>
      <c r="F86" s="26"/>
      <c r="G86" s="27"/>
      <c r="H86" s="28"/>
    </row>
    <row r="87" spans="2:8" ht="26.25" customHeight="1">
      <c r="B87" s="2" t="s">
        <v>11</v>
      </c>
    </row>
    <row r="88" spans="2:8" ht="26.25" customHeight="1"/>
    <row r="89" spans="2:8" ht="26.25" customHeight="1"/>
    <row r="90" spans="2:8" ht="26.25" customHeight="1"/>
    <row r="91" spans="2:8" ht="26.25" customHeight="1"/>
    <row r="92" spans="2:8" ht="26.25" customHeight="1"/>
    <row r="93" spans="2:8" ht="26.25" customHeight="1"/>
    <row r="94" spans="2:8" ht="26.25" customHeight="1"/>
    <row r="95" spans="2:8" ht="26.25" customHeight="1"/>
    <row r="96" spans="2:8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spans="8:8" ht="26.25" customHeight="1"/>
    <row r="114" spans="8:8" ht="26.25" customHeight="1">
      <c r="H114" s="2"/>
    </row>
    <row r="115" spans="8:8" ht="26.25" customHeight="1">
      <c r="H115" s="2"/>
    </row>
    <row r="116" spans="8:8" ht="26.25" customHeight="1">
      <c r="H116" s="2"/>
    </row>
    <row r="117" spans="8:8" ht="26.25" customHeight="1">
      <c r="H117" s="2"/>
    </row>
    <row r="118" spans="8:8" ht="26.25" customHeight="1">
      <c r="H118" s="2"/>
    </row>
    <row r="119" spans="8:8" ht="26.25" customHeight="1">
      <c r="H119" s="2"/>
    </row>
    <row r="120" spans="8:8" ht="26.25" customHeight="1">
      <c r="H120" s="2"/>
    </row>
    <row r="121" spans="8:8" ht="26.25" customHeight="1">
      <c r="H121" s="2"/>
    </row>
    <row r="122" spans="8:8" ht="26.25" customHeight="1">
      <c r="H122" s="2"/>
    </row>
    <row r="123" spans="8:8" ht="26.25" customHeight="1">
      <c r="H123" s="2"/>
    </row>
    <row r="124" spans="8:8" ht="26.25" customHeight="1">
      <c r="H124" s="2"/>
    </row>
    <row r="125" spans="8:8" ht="26.25" customHeight="1">
      <c r="H125" s="2"/>
    </row>
    <row r="126" spans="8:8" ht="26.25" customHeight="1">
      <c r="H126" s="2"/>
    </row>
    <row r="127" spans="8:8" ht="26.25" customHeight="1">
      <c r="H127" s="2"/>
    </row>
    <row r="128" spans="8:8" ht="26.25" customHeight="1">
      <c r="H128" s="2"/>
    </row>
    <row r="129" spans="8:8" ht="26.25" customHeight="1">
      <c r="H129" s="2"/>
    </row>
    <row r="130" spans="8:8" ht="26.25" customHeight="1">
      <c r="H130" s="2"/>
    </row>
    <row r="131" spans="8:8" ht="26.25" customHeight="1">
      <c r="H131" s="2"/>
    </row>
    <row r="132" spans="8:8" ht="26.25" customHeight="1">
      <c r="H132" s="2"/>
    </row>
    <row r="133" spans="8:8" ht="26.25" customHeight="1">
      <c r="H133" s="2"/>
    </row>
    <row r="134" spans="8:8" ht="26.25" customHeight="1">
      <c r="H134" s="2"/>
    </row>
    <row r="135" spans="8:8" ht="26.25" customHeight="1">
      <c r="H135" s="2"/>
    </row>
    <row r="136" spans="8:8" ht="26.25" customHeight="1">
      <c r="H136" s="2"/>
    </row>
    <row r="137" spans="8:8" ht="26.25" customHeight="1">
      <c r="H137" s="2"/>
    </row>
    <row r="138" spans="8:8" ht="26.25" customHeight="1">
      <c r="H138" s="2"/>
    </row>
    <row r="139" spans="8:8" ht="26.25" customHeight="1">
      <c r="H139" s="2"/>
    </row>
    <row r="140" spans="8:8" ht="26.25" customHeight="1">
      <c r="H140" s="2"/>
    </row>
    <row r="141" spans="8:8" ht="26.25" customHeight="1">
      <c r="H141" s="2"/>
    </row>
    <row r="142" spans="8:8" ht="26.25" customHeight="1">
      <c r="H142" s="2"/>
    </row>
    <row r="143" spans="8:8" ht="26.25" customHeight="1">
      <c r="H143" s="2"/>
    </row>
    <row r="144" spans="8:8" ht="26.25" customHeight="1">
      <c r="H144" s="2"/>
    </row>
    <row r="145" spans="8:8" ht="26.25" customHeight="1">
      <c r="H145" s="2"/>
    </row>
    <row r="146" spans="8:8" ht="26.25" customHeight="1">
      <c r="H146" s="2"/>
    </row>
    <row r="147" spans="8:8" ht="26.25" customHeight="1">
      <c r="H147" s="2"/>
    </row>
    <row r="148" spans="8:8">
      <c r="H148" s="2"/>
    </row>
    <row r="149" spans="8:8">
      <c r="H149" s="2"/>
    </row>
    <row r="150" spans="8:8">
      <c r="H150" s="2"/>
    </row>
    <row r="151" spans="8:8">
      <c r="H151" s="2"/>
    </row>
    <row r="152" spans="8:8">
      <c r="H152" s="2"/>
    </row>
    <row r="153" spans="8:8">
      <c r="H153" s="2"/>
    </row>
    <row r="154" spans="8:8">
      <c r="H154" s="2"/>
    </row>
    <row r="155" spans="8:8">
      <c r="H155" s="2"/>
    </row>
  </sheetData>
  <autoFilter ref="B8:O58" xr:uid="{7A588985-D0C6-425E-ADE1-9389503D76D2}"/>
  <mergeCells count="23">
    <mergeCell ref="B2:H2"/>
    <mergeCell ref="C5:H5"/>
    <mergeCell ref="G4:H4"/>
    <mergeCell ref="K43:K44"/>
    <mergeCell ref="K40:K42"/>
    <mergeCell ref="K38:K39"/>
    <mergeCell ref="K35:K37"/>
    <mergeCell ref="K29:K34"/>
    <mergeCell ref="J4:N5"/>
    <mergeCell ref="K21:K28"/>
    <mergeCell ref="K17:K20"/>
    <mergeCell ref="K14:K16"/>
    <mergeCell ref="K9:K13"/>
    <mergeCell ref="C4:E4"/>
    <mergeCell ref="K58:K61"/>
    <mergeCell ref="K54:K57"/>
    <mergeCell ref="K49:K53"/>
    <mergeCell ref="K45:K48"/>
    <mergeCell ref="J77:L77"/>
    <mergeCell ref="K74:K75"/>
    <mergeCell ref="K71:K72"/>
    <mergeCell ref="K67:K70"/>
    <mergeCell ref="K62:K66"/>
  </mergeCells>
  <phoneticPr fontId="30" type="noConversion"/>
  <dataValidations count="2">
    <dataValidation type="list" allowBlank="1" showDropDown="1" showInputMessage="1" showErrorMessage="1" sqref="D77:D84" xr:uid="{00000000-0002-0000-0100-000001000000}">
      <formula1>$L$9:$L$76</formula1>
    </dataValidation>
    <dataValidation type="list" allowBlank="1" showDropDown="1" showInputMessage="1" showErrorMessage="1" sqref="C77:C84 C54 C9" xr:uid="{00000000-0002-0000-0100-000002000000}">
      <formula1>$J$9:$J$76</formula1>
    </dataValidation>
  </dataValidations>
  <pageMargins left="0.35433070866141736" right="0.31496062992125984" top="0.74803149606299213" bottom="0.74803149606299213" header="0.31496062992125984" footer="0.31496062992125984"/>
  <pageSetup paperSize="9" scale="68" fitToHeight="100" orientation="portrait" r:id="rId1"/>
  <colBreaks count="2" manualBreakCount="2">
    <brk id="8" min="1" max="86" man="1"/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4B1A-7711-4167-9E2E-A8741E0C1DB0}">
  <sheetPr>
    <pageSetUpPr fitToPage="1"/>
  </sheetPr>
  <dimension ref="B1:K31"/>
  <sheetViews>
    <sheetView zoomScale="85" zoomScaleNormal="85" zoomScaleSheetLayoutView="100" workbookViewId="0">
      <selection activeCell="Q15" sqref="Q15"/>
    </sheetView>
  </sheetViews>
  <sheetFormatPr defaultColWidth="9" defaultRowHeight="16.5"/>
  <cols>
    <col min="1" max="1" width="1.625" style="136" customWidth="1"/>
    <col min="2" max="2" width="9.375" style="136" bestFit="1" customWidth="1"/>
    <col min="3" max="3" width="9" style="136"/>
    <col min="4" max="4" width="16.125" style="136" bestFit="1" customWidth="1"/>
    <col min="5" max="5" width="9" style="136"/>
    <col min="6" max="6" width="8.625" style="136" bestFit="1" customWidth="1"/>
    <col min="7" max="7" width="9.125" style="136" bestFit="1" customWidth="1"/>
    <col min="8" max="8" width="9" style="136"/>
    <col min="9" max="11" width="10.625" style="136" customWidth="1"/>
    <col min="12" max="12" width="1.625" style="136" customWidth="1"/>
    <col min="13" max="16384" width="9" style="136"/>
  </cols>
  <sheetData>
    <row r="1" spans="2:11" ht="9.9499999999999993" customHeight="1"/>
    <row r="2" spans="2:11" ht="31.5">
      <c r="B2" s="206" t="s">
        <v>318</v>
      </c>
      <c r="C2" s="206"/>
      <c r="D2" s="206"/>
      <c r="E2" s="206"/>
      <c r="F2" s="206"/>
      <c r="G2" s="206"/>
      <c r="H2" s="206"/>
      <c r="I2" s="206"/>
      <c r="J2" s="206"/>
      <c r="K2" s="206"/>
    </row>
    <row r="3" spans="2:11" ht="9.9499999999999993" customHeight="1"/>
    <row r="4" spans="2:11">
      <c r="B4" s="207" t="s">
        <v>332</v>
      </c>
      <c r="C4" s="208"/>
      <c r="D4" s="209" t="s">
        <v>333</v>
      </c>
      <c r="E4" s="210"/>
      <c r="F4" s="210"/>
      <c r="G4" s="210"/>
      <c r="H4" s="210"/>
      <c r="I4" s="210"/>
      <c r="J4" s="210"/>
      <c r="K4" s="210"/>
    </row>
    <row r="5" spans="2:11" ht="9.9499999999999993" customHeight="1" thickBot="1"/>
    <row r="6" spans="2:11" ht="39.950000000000003" customHeight="1" thickBot="1">
      <c r="B6" s="137" t="s">
        <v>319</v>
      </c>
      <c r="C6" s="138" t="s">
        <v>320</v>
      </c>
      <c r="D6" s="138" t="s">
        <v>321</v>
      </c>
      <c r="E6" s="138" t="s">
        <v>322</v>
      </c>
      <c r="F6" s="138" t="s">
        <v>323</v>
      </c>
      <c r="G6" s="138" t="s">
        <v>324</v>
      </c>
      <c r="H6" s="138" t="s">
        <v>325</v>
      </c>
      <c r="I6" s="138" t="s">
        <v>326</v>
      </c>
      <c r="J6" s="138" t="s">
        <v>327</v>
      </c>
      <c r="K6" s="139" t="s">
        <v>328</v>
      </c>
    </row>
    <row r="7" spans="2:11" ht="27.95" customHeight="1" thickTop="1">
      <c r="B7" s="155"/>
      <c r="C7" s="156"/>
      <c r="D7" s="163"/>
      <c r="E7" s="157"/>
      <c r="F7" s="157"/>
      <c r="G7" s="158"/>
      <c r="H7" s="159"/>
      <c r="I7" s="160"/>
      <c r="J7" s="161"/>
      <c r="K7" s="162"/>
    </row>
    <row r="8" spans="2:11" ht="27.95" customHeight="1">
      <c r="B8" s="155"/>
      <c r="C8" s="156"/>
      <c r="D8" s="163"/>
      <c r="E8" s="157"/>
      <c r="F8" s="157"/>
      <c r="G8" s="158"/>
      <c r="H8" s="159"/>
      <c r="I8" s="160"/>
      <c r="J8" s="161"/>
      <c r="K8" s="162"/>
    </row>
    <row r="9" spans="2:11" ht="27.95" customHeight="1">
      <c r="B9" s="155"/>
      <c r="C9" s="156"/>
      <c r="D9" s="163"/>
      <c r="E9" s="157"/>
      <c r="F9" s="157"/>
      <c r="G9" s="158"/>
      <c r="H9" s="159"/>
      <c r="I9" s="160"/>
      <c r="J9" s="161"/>
      <c r="K9" s="162"/>
    </row>
    <row r="10" spans="2:11" ht="27.95" customHeight="1">
      <c r="B10" s="155"/>
      <c r="C10" s="156"/>
      <c r="D10" s="163"/>
      <c r="E10" s="157"/>
      <c r="F10" s="157"/>
      <c r="G10" s="158"/>
      <c r="H10" s="159"/>
      <c r="I10" s="160"/>
      <c r="J10" s="161"/>
      <c r="K10" s="162"/>
    </row>
    <row r="11" spans="2:11" ht="27.95" customHeight="1">
      <c r="B11" s="155"/>
      <c r="C11" s="156"/>
      <c r="D11" s="163"/>
      <c r="E11" s="157"/>
      <c r="F11" s="157"/>
      <c r="G11" s="158"/>
      <c r="H11" s="159"/>
      <c r="I11" s="160"/>
      <c r="J11" s="161"/>
      <c r="K11" s="162"/>
    </row>
    <row r="12" spans="2:11" ht="27.95" customHeight="1">
      <c r="B12" s="155"/>
      <c r="C12" s="156"/>
      <c r="D12" s="163"/>
      <c r="E12" s="157"/>
      <c r="F12" s="157"/>
      <c r="G12" s="158"/>
      <c r="H12" s="159"/>
      <c r="I12" s="160"/>
      <c r="J12" s="161"/>
      <c r="K12" s="162"/>
    </row>
    <row r="13" spans="2:11" ht="27.95" customHeight="1">
      <c r="B13" s="155"/>
      <c r="C13" s="156"/>
      <c r="D13" s="163"/>
      <c r="E13" s="157"/>
      <c r="F13" s="157"/>
      <c r="G13" s="158"/>
      <c r="H13" s="159"/>
      <c r="I13" s="160"/>
      <c r="J13" s="161"/>
      <c r="K13" s="162"/>
    </row>
    <row r="14" spans="2:11" ht="27.95" customHeight="1">
      <c r="B14" s="155"/>
      <c r="C14" s="156"/>
      <c r="D14" s="163"/>
      <c r="E14" s="157"/>
      <c r="F14" s="157"/>
      <c r="G14" s="158"/>
      <c r="H14" s="159"/>
      <c r="I14" s="160"/>
      <c r="J14" s="161"/>
      <c r="K14" s="162"/>
    </row>
    <row r="15" spans="2:11" ht="27.95" customHeight="1">
      <c r="B15" s="155"/>
      <c r="C15" s="156"/>
      <c r="D15" s="163"/>
      <c r="E15" s="157"/>
      <c r="F15" s="157"/>
      <c r="G15" s="158"/>
      <c r="H15" s="159"/>
      <c r="I15" s="160"/>
      <c r="J15" s="161"/>
      <c r="K15" s="162"/>
    </row>
    <row r="16" spans="2:11" ht="27.95" customHeight="1">
      <c r="B16" s="155"/>
      <c r="C16" s="156"/>
      <c r="D16" s="163"/>
      <c r="E16" s="157"/>
      <c r="F16" s="157"/>
      <c r="G16" s="158"/>
      <c r="H16" s="159"/>
      <c r="I16" s="160"/>
      <c r="J16" s="161"/>
      <c r="K16" s="162"/>
    </row>
    <row r="17" spans="2:11" ht="27.95" customHeight="1">
      <c r="B17" s="155"/>
      <c r="C17" s="156"/>
      <c r="D17" s="163"/>
      <c r="E17" s="157"/>
      <c r="F17" s="157"/>
      <c r="G17" s="158"/>
      <c r="H17" s="159"/>
      <c r="I17" s="160"/>
      <c r="J17" s="161"/>
      <c r="K17" s="162"/>
    </row>
    <row r="18" spans="2:11" ht="27.95" customHeight="1">
      <c r="B18" s="155"/>
      <c r="C18" s="156"/>
      <c r="D18" s="163"/>
      <c r="E18" s="157"/>
      <c r="F18" s="157"/>
      <c r="G18" s="158"/>
      <c r="H18" s="159"/>
      <c r="I18" s="160"/>
      <c r="J18" s="161"/>
      <c r="K18" s="162"/>
    </row>
    <row r="19" spans="2:11" ht="27.95" customHeight="1">
      <c r="B19" s="155"/>
      <c r="C19" s="156"/>
      <c r="D19" s="163"/>
      <c r="E19" s="157"/>
      <c r="F19" s="157"/>
      <c r="G19" s="158"/>
      <c r="H19" s="159"/>
      <c r="I19" s="160"/>
      <c r="J19" s="161"/>
      <c r="K19" s="162"/>
    </row>
    <row r="20" spans="2:11" ht="27.95" customHeight="1">
      <c r="B20" s="155"/>
      <c r="C20" s="156"/>
      <c r="D20" s="163"/>
      <c r="E20" s="157"/>
      <c r="F20" s="157"/>
      <c r="G20" s="158"/>
      <c r="H20" s="159"/>
      <c r="I20" s="160"/>
      <c r="J20" s="161"/>
      <c r="K20" s="162"/>
    </row>
    <row r="21" spans="2:11" ht="27.95" customHeight="1">
      <c r="B21" s="155"/>
      <c r="C21" s="156"/>
      <c r="D21" s="163"/>
      <c r="E21" s="157"/>
      <c r="F21" s="157"/>
      <c r="G21" s="158"/>
      <c r="H21" s="159"/>
      <c r="I21" s="160"/>
      <c r="J21" s="161"/>
      <c r="K21" s="162"/>
    </row>
    <row r="22" spans="2:11" ht="27.95" customHeight="1">
      <c r="B22" s="155"/>
      <c r="C22" s="156"/>
      <c r="D22" s="163"/>
      <c r="E22" s="157"/>
      <c r="F22" s="157"/>
      <c r="G22" s="158"/>
      <c r="H22" s="159"/>
      <c r="I22" s="160"/>
      <c r="J22" s="161"/>
      <c r="K22" s="162"/>
    </row>
    <row r="23" spans="2:11" ht="27.95" customHeight="1">
      <c r="B23" s="155"/>
      <c r="C23" s="156"/>
      <c r="D23" s="163"/>
      <c r="E23" s="157"/>
      <c r="F23" s="157"/>
      <c r="G23" s="158"/>
      <c r="H23" s="159"/>
      <c r="I23" s="160"/>
      <c r="J23" s="161"/>
      <c r="K23" s="162"/>
    </row>
    <row r="24" spans="2:11" ht="27.95" customHeight="1">
      <c r="B24" s="155"/>
      <c r="C24" s="156"/>
      <c r="D24" s="163"/>
      <c r="E24" s="157"/>
      <c r="F24" s="157"/>
      <c r="G24" s="158"/>
      <c r="H24" s="159"/>
      <c r="I24" s="160"/>
      <c r="J24" s="161"/>
      <c r="K24" s="162"/>
    </row>
    <row r="25" spans="2:11" ht="27.95" customHeight="1">
      <c r="B25" s="155"/>
      <c r="C25" s="156"/>
      <c r="D25" s="156"/>
      <c r="E25" s="157"/>
      <c r="F25" s="157"/>
      <c r="G25" s="158"/>
      <c r="H25" s="159"/>
      <c r="I25" s="160"/>
      <c r="J25" s="161"/>
      <c r="K25" s="162"/>
    </row>
    <row r="26" spans="2:11" ht="27.95" customHeight="1">
      <c r="B26" s="144"/>
      <c r="C26" s="145" t="s">
        <v>329</v>
      </c>
      <c r="D26" s="146"/>
      <c r="E26" s="146"/>
      <c r="F26" s="146"/>
      <c r="G26" s="146"/>
      <c r="H26" s="146"/>
      <c r="I26" s="146"/>
      <c r="J26" s="146"/>
      <c r="K26" s="147">
        <f>ROUND(SUM(K7:K25),0)</f>
        <v>0</v>
      </c>
    </row>
    <row r="27" spans="2:11" ht="27.95" customHeight="1">
      <c r="B27" s="148"/>
      <c r="C27" s="149"/>
      <c r="D27" s="149"/>
      <c r="E27" s="149"/>
      <c r="F27" s="149"/>
      <c r="G27" s="150"/>
      <c r="H27" s="140"/>
      <c r="I27" s="141"/>
      <c r="J27" s="142"/>
      <c r="K27" s="143"/>
    </row>
    <row r="28" spans="2:11" ht="37.5" customHeight="1" thickBot="1">
      <c r="B28" s="151" t="s">
        <v>330</v>
      </c>
      <c r="C28" s="152"/>
      <c r="D28" s="153"/>
      <c r="E28" s="153"/>
      <c r="F28" s="153"/>
      <c r="G28" s="153"/>
      <c r="H28" s="153"/>
      <c r="I28" s="153"/>
      <c r="J28" s="153"/>
      <c r="K28" s="154">
        <f>SUM(K26)</f>
        <v>0</v>
      </c>
    </row>
    <row r="29" spans="2:11" ht="69.599999999999994" customHeight="1" thickBot="1">
      <c r="B29" s="211" t="s">
        <v>331</v>
      </c>
      <c r="C29" s="212"/>
      <c r="D29" s="212"/>
      <c r="E29" s="212"/>
      <c r="F29" s="212"/>
      <c r="G29" s="212"/>
      <c r="H29" s="212"/>
      <c r="I29" s="212"/>
      <c r="J29" s="212"/>
      <c r="K29" s="213"/>
    </row>
    <row r="30" spans="2:11" ht="120" customHeight="1"/>
    <row r="31" spans="2:11" ht="9.9499999999999993" customHeight="1"/>
  </sheetData>
  <mergeCells count="4">
    <mergeCell ref="B2:K2"/>
    <mergeCell ref="B4:C4"/>
    <mergeCell ref="D4:K4"/>
    <mergeCell ref="B29:K29"/>
  </mergeCells>
  <phoneticPr fontId="30" type="noConversion"/>
  <pageMargins left="0.70866141732283472" right="0.70866141732283472" top="0.74803149606299213" bottom="0.74803149606299213" header="0.31496062992125984" footer="0.31496062992125984"/>
  <pageSetup paperSize="9" scale="76" fitToHeight="10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00"/>
  <sheetViews>
    <sheetView topLeftCell="A70" zoomScaleNormal="100" zoomScaleSheetLayoutView="115" workbookViewId="0">
      <selection activeCell="F104" sqref="F104"/>
    </sheetView>
  </sheetViews>
  <sheetFormatPr defaultColWidth="9" defaultRowHeight="16.5"/>
  <cols>
    <col min="1" max="1" width="1.625" customWidth="1"/>
    <col min="2" max="2" width="10.625" customWidth="1"/>
    <col min="3" max="3" width="20.625" customWidth="1"/>
    <col min="4" max="11" width="10.625" customWidth="1"/>
    <col min="12" max="12" width="1.625" customWidth="1"/>
  </cols>
  <sheetData>
    <row r="1" spans="2:12" ht="9.9499999999999993" customHeight="1"/>
    <row r="2" spans="2:12" ht="27" thickBot="1">
      <c r="B2" s="304" t="s">
        <v>134</v>
      </c>
      <c r="C2" s="304"/>
      <c r="D2" s="304"/>
      <c r="E2" s="304"/>
      <c r="F2" s="304"/>
      <c r="G2" s="304"/>
      <c r="H2" s="105"/>
    </row>
    <row r="3" spans="2:12">
      <c r="B3" s="39" t="s">
        <v>26</v>
      </c>
      <c r="C3" s="40" t="s">
        <v>27</v>
      </c>
      <c r="D3" s="41" t="s">
        <v>28</v>
      </c>
      <c r="E3" s="42" t="s">
        <v>29</v>
      </c>
      <c r="F3" s="305" t="s">
        <v>30</v>
      </c>
      <c r="G3" s="305"/>
      <c r="H3" s="305" t="s">
        <v>31</v>
      </c>
      <c r="I3" s="305"/>
      <c r="J3" s="305"/>
      <c r="K3" s="324"/>
    </row>
    <row r="4" spans="2:12">
      <c r="B4" s="43" t="s">
        <v>32</v>
      </c>
      <c r="C4" s="44">
        <v>10000000</v>
      </c>
      <c r="D4" s="45"/>
      <c r="E4" s="46" t="s">
        <v>33</v>
      </c>
      <c r="F4" s="47">
        <v>2.7200000000000002E-3</v>
      </c>
      <c r="G4" s="48" t="s">
        <v>34</v>
      </c>
      <c r="H4" s="306" t="s">
        <v>35</v>
      </c>
      <c r="I4" s="306"/>
      <c r="J4" s="306"/>
      <c r="K4" s="307"/>
    </row>
    <row r="5" spans="2:12">
      <c r="B5" s="49" t="s">
        <v>36</v>
      </c>
      <c r="C5" s="44">
        <v>6500000</v>
      </c>
      <c r="D5" s="45"/>
      <c r="E5" s="50" t="s">
        <v>37</v>
      </c>
      <c r="F5" s="51" t="s">
        <v>38</v>
      </c>
      <c r="G5" s="52" t="s">
        <v>39</v>
      </c>
      <c r="H5" s="53" t="s">
        <v>40</v>
      </c>
      <c r="I5" s="52" t="s">
        <v>41</v>
      </c>
      <c r="J5" s="53" t="s">
        <v>42</v>
      </c>
      <c r="K5" s="54" t="s">
        <v>43</v>
      </c>
    </row>
    <row r="6" spans="2:12">
      <c r="B6" s="49" t="s">
        <v>44</v>
      </c>
      <c r="C6" s="44">
        <v>5400000</v>
      </c>
      <c r="D6" s="45"/>
      <c r="E6" s="55" t="s">
        <v>45</v>
      </c>
      <c r="F6" s="56" t="s">
        <v>46</v>
      </c>
      <c r="G6" s="57" t="s">
        <v>47</v>
      </c>
      <c r="H6" s="58" t="s">
        <v>48</v>
      </c>
      <c r="I6" s="57" t="s">
        <v>49</v>
      </c>
      <c r="J6" s="58" t="s">
        <v>50</v>
      </c>
      <c r="K6" s="59" t="s">
        <v>51</v>
      </c>
    </row>
    <row r="7" spans="2:12">
      <c r="B7" s="49" t="s">
        <v>52</v>
      </c>
      <c r="C7" s="44">
        <v>4300000</v>
      </c>
      <c r="D7" s="45"/>
      <c r="E7" s="46" t="s">
        <v>53</v>
      </c>
      <c r="F7" s="47">
        <v>1.1509999999999999E-2</v>
      </c>
      <c r="G7" s="48" t="s">
        <v>54</v>
      </c>
      <c r="H7" s="306" t="s">
        <v>55</v>
      </c>
      <c r="I7" s="306"/>
      <c r="J7" s="306"/>
      <c r="K7" s="307"/>
    </row>
    <row r="8" spans="2:12">
      <c r="B8" s="49" t="s">
        <v>56</v>
      </c>
      <c r="C8" s="44">
        <v>3500000</v>
      </c>
      <c r="D8" s="45"/>
      <c r="E8" s="46" t="s">
        <v>57</v>
      </c>
      <c r="F8" s="47">
        <v>2.0400000000000001E-3</v>
      </c>
      <c r="G8" s="48" t="s">
        <v>34</v>
      </c>
      <c r="H8" s="308" t="s">
        <v>58</v>
      </c>
      <c r="I8" s="309"/>
      <c r="J8" s="309"/>
      <c r="K8" s="310"/>
    </row>
    <row r="9" spans="2:12" ht="17.25" thickBot="1">
      <c r="B9" s="60" t="s">
        <v>59</v>
      </c>
      <c r="C9" s="61">
        <v>2900000</v>
      </c>
      <c r="D9" s="62"/>
      <c r="E9" s="63" t="s">
        <v>60</v>
      </c>
      <c r="F9" s="311" t="s">
        <v>61</v>
      </c>
      <c r="G9" s="312"/>
      <c r="H9" s="312"/>
      <c r="I9" s="312"/>
      <c r="J9" s="312"/>
      <c r="K9" s="313"/>
    </row>
    <row r="10" spans="2:12" ht="17.25" thickBot="1">
      <c r="B10" s="64"/>
      <c r="C10" s="64"/>
      <c r="D10" s="64"/>
    </row>
    <row r="11" spans="2:12" ht="17.25" thickBot="1">
      <c r="B11" s="314" t="s">
        <v>62</v>
      </c>
      <c r="C11" s="315"/>
      <c r="D11" s="316" t="s">
        <v>63</v>
      </c>
      <c r="E11" s="317"/>
      <c r="F11" s="317"/>
      <c r="G11" s="317"/>
      <c r="H11" s="317"/>
      <c r="I11" s="317"/>
      <c r="J11" s="317"/>
      <c r="K11" s="318"/>
    </row>
    <row r="12" spans="2:12" ht="17.25" thickTop="1">
      <c r="B12" s="319" t="s">
        <v>64</v>
      </c>
      <c r="C12" s="320"/>
      <c r="D12" s="321" t="s">
        <v>65</v>
      </c>
      <c r="E12" s="322"/>
      <c r="F12" s="322"/>
      <c r="G12" s="322"/>
      <c r="H12" s="322"/>
      <c r="I12" s="322"/>
      <c r="J12" s="322"/>
      <c r="K12" s="323"/>
      <c r="L12" s="64"/>
    </row>
    <row r="13" spans="2:12">
      <c r="B13" s="284" t="s">
        <v>66</v>
      </c>
      <c r="C13" s="285"/>
      <c r="D13" s="286" t="s">
        <v>66</v>
      </c>
      <c r="E13" s="287"/>
      <c r="F13" s="287"/>
      <c r="G13" s="287"/>
      <c r="H13" s="287"/>
      <c r="I13" s="287"/>
      <c r="J13" s="287"/>
      <c r="K13" s="288"/>
    </row>
    <row r="14" spans="2:12">
      <c r="B14" s="284" t="s">
        <v>67</v>
      </c>
      <c r="C14" s="285"/>
      <c r="D14" s="286" t="s">
        <v>67</v>
      </c>
      <c r="E14" s="287"/>
      <c r="F14" s="287"/>
      <c r="G14" s="287"/>
      <c r="H14" s="287"/>
      <c r="I14" s="287"/>
      <c r="J14" s="287"/>
      <c r="K14" s="288"/>
    </row>
    <row r="15" spans="2:12">
      <c r="B15" s="284" t="s">
        <v>135</v>
      </c>
      <c r="C15" s="285"/>
      <c r="D15" s="286" t="s">
        <v>136</v>
      </c>
      <c r="E15" s="287"/>
      <c r="F15" s="287"/>
      <c r="G15" s="287"/>
      <c r="H15" s="287"/>
      <c r="I15" s="287"/>
      <c r="J15" s="287"/>
      <c r="K15" s="288"/>
    </row>
    <row r="16" spans="2:12">
      <c r="B16" s="284" t="s">
        <v>137</v>
      </c>
      <c r="C16" s="285"/>
      <c r="D16" s="286" t="s">
        <v>138</v>
      </c>
      <c r="E16" s="287"/>
      <c r="F16" s="287"/>
      <c r="G16" s="287"/>
      <c r="H16" s="287"/>
      <c r="I16" s="287"/>
      <c r="J16" s="287"/>
      <c r="K16" s="288"/>
    </row>
    <row r="17" spans="2:11">
      <c r="B17" s="284" t="s">
        <v>139</v>
      </c>
      <c r="C17" s="285"/>
      <c r="D17" s="286" t="s">
        <v>140</v>
      </c>
      <c r="E17" s="287"/>
      <c r="F17" s="287"/>
      <c r="G17" s="287"/>
      <c r="H17" s="287"/>
      <c r="I17" s="287"/>
      <c r="J17" s="287"/>
      <c r="K17" s="288"/>
    </row>
    <row r="18" spans="2:11">
      <c r="B18" s="284" t="s">
        <v>141</v>
      </c>
      <c r="C18" s="285"/>
      <c r="D18" s="286" t="s">
        <v>142</v>
      </c>
      <c r="E18" s="287"/>
      <c r="F18" s="287"/>
      <c r="G18" s="287"/>
      <c r="H18" s="287"/>
      <c r="I18" s="287"/>
      <c r="J18" s="287"/>
      <c r="K18" s="288"/>
    </row>
    <row r="19" spans="2:11">
      <c r="B19" s="284" t="s">
        <v>68</v>
      </c>
      <c r="C19" s="285"/>
      <c r="D19" s="286" t="s">
        <v>69</v>
      </c>
      <c r="E19" s="287"/>
      <c r="F19" s="287"/>
      <c r="G19" s="287"/>
      <c r="H19" s="287"/>
      <c r="I19" s="287"/>
      <c r="J19" s="287"/>
      <c r="K19" s="288"/>
    </row>
    <row r="20" spans="2:11">
      <c r="B20" s="284" t="s">
        <v>70</v>
      </c>
      <c r="C20" s="285"/>
      <c r="D20" s="286" t="s">
        <v>143</v>
      </c>
      <c r="E20" s="287"/>
      <c r="F20" s="287"/>
      <c r="G20" s="287"/>
      <c r="H20" s="287"/>
      <c r="I20" s="287"/>
      <c r="J20" s="287"/>
      <c r="K20" s="288"/>
    </row>
    <row r="21" spans="2:11">
      <c r="B21" s="284" t="s">
        <v>71</v>
      </c>
      <c r="C21" s="285"/>
      <c r="D21" s="286" t="s">
        <v>72</v>
      </c>
      <c r="E21" s="287"/>
      <c r="F21" s="287"/>
      <c r="G21" s="287"/>
      <c r="H21" s="287"/>
      <c r="I21" s="287"/>
      <c r="J21" s="287"/>
      <c r="K21" s="288"/>
    </row>
    <row r="22" spans="2:11" ht="17.25" thickBot="1">
      <c r="B22" s="289" t="s">
        <v>73</v>
      </c>
      <c r="C22" s="290"/>
      <c r="D22" s="291" t="s">
        <v>74</v>
      </c>
      <c r="E22" s="292"/>
      <c r="F22" s="292"/>
      <c r="G22" s="292"/>
      <c r="H22" s="292"/>
      <c r="I22" s="292"/>
      <c r="J22" s="292"/>
      <c r="K22" s="293"/>
    </row>
    <row r="23" spans="2:11" ht="17.25" thickBot="1"/>
    <row r="24" spans="2:11" s="108" customFormat="1" ht="12">
      <c r="B24" s="106" t="s">
        <v>75</v>
      </c>
      <c r="C24" s="107" t="s">
        <v>76</v>
      </c>
      <c r="D24" s="294" t="s">
        <v>12</v>
      </c>
      <c r="E24" s="294"/>
      <c r="F24" s="295" t="s">
        <v>77</v>
      </c>
      <c r="G24" s="295"/>
      <c r="H24" s="295"/>
      <c r="I24" s="295"/>
      <c r="J24" s="295"/>
      <c r="K24" s="296"/>
    </row>
    <row r="25" spans="2:11" s="108" customFormat="1" ht="12.75" thickBot="1">
      <c r="B25" s="109" t="s">
        <v>78</v>
      </c>
      <c r="C25" s="110" t="s">
        <v>79</v>
      </c>
      <c r="D25" s="297" t="s">
        <v>78</v>
      </c>
      <c r="E25" s="297"/>
      <c r="F25" s="298" t="s">
        <v>80</v>
      </c>
      <c r="G25" s="298"/>
      <c r="H25" s="298"/>
      <c r="I25" s="298"/>
      <c r="J25" s="298"/>
      <c r="K25" s="299"/>
    </row>
    <row r="26" spans="2:11" s="108" customFormat="1" ht="12.75" thickTop="1">
      <c r="B26" s="300" t="s">
        <v>144</v>
      </c>
      <c r="C26" s="301" t="s">
        <v>82</v>
      </c>
      <c r="D26" s="279" t="s">
        <v>145</v>
      </c>
      <c r="E26" s="279"/>
      <c r="F26" s="302" t="s">
        <v>146</v>
      </c>
      <c r="G26" s="302"/>
      <c r="H26" s="302"/>
      <c r="I26" s="302"/>
      <c r="J26" s="302"/>
      <c r="K26" s="303"/>
    </row>
    <row r="27" spans="2:11" s="108" customFormat="1" ht="12">
      <c r="B27" s="281"/>
      <c r="C27" s="277"/>
      <c r="D27" s="240" t="s">
        <v>132</v>
      </c>
      <c r="E27" s="240"/>
      <c r="F27" s="248" t="s">
        <v>147</v>
      </c>
      <c r="G27" s="248"/>
      <c r="H27" s="248"/>
      <c r="I27" s="248"/>
      <c r="J27" s="248"/>
      <c r="K27" s="249"/>
    </row>
    <row r="28" spans="2:11" s="108" customFormat="1" ht="12">
      <c r="B28" s="281"/>
      <c r="C28" s="277"/>
      <c r="D28" s="240" t="s">
        <v>148</v>
      </c>
      <c r="E28" s="240"/>
      <c r="F28" s="248" t="s">
        <v>149</v>
      </c>
      <c r="G28" s="248"/>
      <c r="H28" s="248"/>
      <c r="I28" s="248"/>
      <c r="J28" s="248"/>
      <c r="K28" s="249"/>
    </row>
    <row r="29" spans="2:11" s="108" customFormat="1" ht="12">
      <c r="B29" s="281"/>
      <c r="C29" s="277"/>
      <c r="D29" s="240" t="s">
        <v>83</v>
      </c>
      <c r="E29" s="240"/>
      <c r="F29" s="248" t="s">
        <v>150</v>
      </c>
      <c r="G29" s="248"/>
      <c r="H29" s="248"/>
      <c r="I29" s="248"/>
      <c r="J29" s="248"/>
      <c r="K29" s="249"/>
    </row>
    <row r="30" spans="2:11" s="108" customFormat="1" ht="12">
      <c r="B30" s="281"/>
      <c r="C30" s="278"/>
      <c r="D30" s="244" t="s">
        <v>84</v>
      </c>
      <c r="E30" s="244"/>
      <c r="F30" s="250" t="s">
        <v>85</v>
      </c>
      <c r="G30" s="250"/>
      <c r="H30" s="250"/>
      <c r="I30" s="250"/>
      <c r="J30" s="250"/>
      <c r="K30" s="251"/>
    </row>
    <row r="31" spans="2:11" s="108" customFormat="1" ht="12">
      <c r="B31" s="281"/>
      <c r="C31" s="276" t="s">
        <v>81</v>
      </c>
      <c r="D31" s="237" t="s">
        <v>151</v>
      </c>
      <c r="E31" s="237"/>
      <c r="F31" s="238"/>
      <c r="G31" s="238"/>
      <c r="H31" s="238"/>
      <c r="I31" s="238"/>
      <c r="J31" s="238"/>
      <c r="K31" s="239"/>
    </row>
    <row r="32" spans="2:11" s="108" customFormat="1" ht="12">
      <c r="B32" s="281"/>
      <c r="C32" s="277"/>
      <c r="D32" s="240" t="s">
        <v>152</v>
      </c>
      <c r="E32" s="240"/>
      <c r="F32" s="248"/>
      <c r="G32" s="248"/>
      <c r="H32" s="248"/>
      <c r="I32" s="248"/>
      <c r="J32" s="248"/>
      <c r="K32" s="249"/>
    </row>
    <row r="33" spans="2:12" s="108" customFormat="1" ht="12">
      <c r="B33" s="281"/>
      <c r="C33" s="278"/>
      <c r="D33" s="244" t="s">
        <v>153</v>
      </c>
      <c r="E33" s="244"/>
      <c r="F33" s="250"/>
      <c r="G33" s="250"/>
      <c r="H33" s="250"/>
      <c r="I33" s="250"/>
      <c r="J33" s="250"/>
      <c r="K33" s="251"/>
    </row>
    <row r="34" spans="2:12" s="108" customFormat="1" ht="17.45" customHeight="1">
      <c r="B34" s="281"/>
      <c r="C34" s="276" t="s">
        <v>18</v>
      </c>
      <c r="D34" s="237" t="s">
        <v>154</v>
      </c>
      <c r="E34" s="237"/>
      <c r="F34" s="252" t="s">
        <v>313</v>
      </c>
      <c r="G34" s="253"/>
      <c r="H34" s="253"/>
      <c r="I34" s="253"/>
      <c r="J34" s="253"/>
      <c r="K34" s="254"/>
    </row>
    <row r="35" spans="2:12" s="108" customFormat="1" ht="17.45" customHeight="1">
      <c r="B35" s="281"/>
      <c r="C35" s="277"/>
      <c r="D35" s="240" t="s">
        <v>155</v>
      </c>
      <c r="E35" s="240"/>
      <c r="F35" s="241" t="s">
        <v>314</v>
      </c>
      <c r="G35" s="242"/>
      <c r="H35" s="242"/>
      <c r="I35" s="242"/>
      <c r="J35" s="242"/>
      <c r="K35" s="243"/>
    </row>
    <row r="36" spans="2:12" s="108" customFormat="1" ht="17.45" customHeight="1">
      <c r="B36" s="281"/>
      <c r="C36" s="277"/>
      <c r="D36" s="240" t="s">
        <v>156</v>
      </c>
      <c r="E36" s="240"/>
      <c r="F36" s="241" t="s">
        <v>315</v>
      </c>
      <c r="G36" s="242"/>
      <c r="H36" s="242"/>
      <c r="I36" s="242"/>
      <c r="J36" s="242"/>
      <c r="K36" s="243"/>
    </row>
    <row r="37" spans="2:12" s="108" customFormat="1" ht="17.45" customHeight="1">
      <c r="B37" s="282"/>
      <c r="C37" s="278"/>
      <c r="D37" s="244" t="s">
        <v>157</v>
      </c>
      <c r="E37" s="244"/>
      <c r="F37" s="245" t="s">
        <v>316</v>
      </c>
      <c r="G37" s="246"/>
      <c r="H37" s="246"/>
      <c r="I37" s="246"/>
      <c r="J37" s="246"/>
      <c r="K37" s="247"/>
      <c r="L37" s="135"/>
    </row>
    <row r="38" spans="2:12" s="108" customFormat="1" ht="12">
      <c r="B38" s="280" t="s">
        <v>158</v>
      </c>
      <c r="C38" s="283" t="s">
        <v>20</v>
      </c>
      <c r="D38" s="237" t="s">
        <v>159</v>
      </c>
      <c r="E38" s="237"/>
      <c r="F38" s="238"/>
      <c r="G38" s="238"/>
      <c r="H38" s="238"/>
      <c r="I38" s="238"/>
      <c r="J38" s="238"/>
      <c r="K38" s="239"/>
    </row>
    <row r="39" spans="2:12" s="108" customFormat="1" ht="12">
      <c r="B39" s="281"/>
      <c r="C39" s="277"/>
      <c r="D39" s="240" t="s">
        <v>160</v>
      </c>
      <c r="E39" s="240"/>
      <c r="F39" s="248"/>
      <c r="G39" s="248"/>
      <c r="H39" s="248"/>
      <c r="I39" s="248"/>
      <c r="J39" s="248"/>
      <c r="K39" s="249"/>
    </row>
    <row r="40" spans="2:12" s="108" customFormat="1" ht="12">
      <c r="B40" s="281"/>
      <c r="C40" s="277"/>
      <c r="D40" s="240" t="s">
        <v>161</v>
      </c>
      <c r="E40" s="240"/>
      <c r="F40" s="248"/>
      <c r="G40" s="248"/>
      <c r="H40" s="248"/>
      <c r="I40" s="248"/>
      <c r="J40" s="248"/>
      <c r="K40" s="249"/>
    </row>
    <row r="41" spans="2:12" s="108" customFormat="1" ht="12">
      <c r="B41" s="281"/>
      <c r="C41" s="277"/>
      <c r="D41" s="240" t="s">
        <v>162</v>
      </c>
      <c r="E41" s="240"/>
      <c r="F41" s="248"/>
      <c r="G41" s="248"/>
      <c r="H41" s="248"/>
      <c r="I41" s="248"/>
      <c r="J41" s="248"/>
      <c r="K41" s="249"/>
    </row>
    <row r="42" spans="2:12" s="108" customFormat="1" ht="12">
      <c r="B42" s="281"/>
      <c r="C42" s="277"/>
      <c r="D42" s="240" t="s">
        <v>163</v>
      </c>
      <c r="E42" s="240"/>
      <c r="F42" s="248"/>
      <c r="G42" s="248"/>
      <c r="H42" s="248"/>
      <c r="I42" s="248"/>
      <c r="J42" s="248"/>
      <c r="K42" s="249"/>
    </row>
    <row r="43" spans="2:12" s="108" customFormat="1" ht="12">
      <c r="B43" s="281"/>
      <c r="C43" s="277"/>
      <c r="D43" s="240" t="s">
        <v>164</v>
      </c>
      <c r="E43" s="240"/>
      <c r="F43" s="248"/>
      <c r="G43" s="248"/>
      <c r="H43" s="248"/>
      <c r="I43" s="248"/>
      <c r="J43" s="248"/>
      <c r="K43" s="249"/>
    </row>
    <row r="44" spans="2:12" s="108" customFormat="1" ht="12">
      <c r="B44" s="281"/>
      <c r="C44" s="277"/>
      <c r="D44" s="240" t="s">
        <v>165</v>
      </c>
      <c r="E44" s="240"/>
      <c r="F44" s="248"/>
      <c r="G44" s="248"/>
      <c r="H44" s="248"/>
      <c r="I44" s="248"/>
      <c r="J44" s="248"/>
      <c r="K44" s="249"/>
    </row>
    <row r="45" spans="2:12" s="108" customFormat="1" ht="12">
      <c r="B45" s="281"/>
      <c r="C45" s="278"/>
      <c r="D45" s="244" t="s">
        <v>166</v>
      </c>
      <c r="E45" s="244"/>
      <c r="F45" s="250"/>
      <c r="G45" s="250"/>
      <c r="H45" s="250"/>
      <c r="I45" s="250"/>
      <c r="J45" s="250"/>
      <c r="K45" s="251"/>
    </row>
    <row r="46" spans="2:12" s="108" customFormat="1" ht="12">
      <c r="B46" s="281"/>
      <c r="C46" s="276" t="s">
        <v>86</v>
      </c>
      <c r="D46" s="237" t="s">
        <v>167</v>
      </c>
      <c r="E46" s="237"/>
      <c r="F46" s="238"/>
      <c r="G46" s="238"/>
      <c r="H46" s="238"/>
      <c r="I46" s="238"/>
      <c r="J46" s="238"/>
      <c r="K46" s="239"/>
    </row>
    <row r="47" spans="2:12" s="108" customFormat="1" ht="12">
      <c r="B47" s="281"/>
      <c r="C47" s="277"/>
      <c r="D47" s="240" t="s">
        <v>168</v>
      </c>
      <c r="E47" s="240"/>
      <c r="F47" s="248"/>
      <c r="G47" s="248"/>
      <c r="H47" s="248"/>
      <c r="I47" s="248"/>
      <c r="J47" s="248"/>
      <c r="K47" s="249"/>
    </row>
    <row r="48" spans="2:12" s="108" customFormat="1" ht="12">
      <c r="B48" s="281"/>
      <c r="C48" s="277"/>
      <c r="D48" s="240" t="s">
        <v>169</v>
      </c>
      <c r="E48" s="240"/>
      <c r="F48" s="248"/>
      <c r="G48" s="248"/>
      <c r="H48" s="248"/>
      <c r="I48" s="248"/>
      <c r="J48" s="248"/>
      <c r="K48" s="249"/>
    </row>
    <row r="49" spans="2:11" s="108" customFormat="1" ht="12">
      <c r="B49" s="281"/>
      <c r="C49" s="277"/>
      <c r="D49" s="240" t="s">
        <v>170</v>
      </c>
      <c r="E49" s="240"/>
      <c r="F49" s="248"/>
      <c r="G49" s="248"/>
      <c r="H49" s="248"/>
      <c r="I49" s="248"/>
      <c r="J49" s="248"/>
      <c r="K49" s="249"/>
    </row>
    <row r="50" spans="2:11" s="108" customFormat="1" ht="17.45" customHeight="1">
      <c r="B50" s="281"/>
      <c r="C50" s="277"/>
      <c r="D50" s="240" t="s">
        <v>171</v>
      </c>
      <c r="E50" s="240"/>
      <c r="F50" s="248"/>
      <c r="G50" s="248"/>
      <c r="H50" s="248"/>
      <c r="I50" s="248"/>
      <c r="J50" s="248"/>
      <c r="K50" s="249"/>
    </row>
    <row r="51" spans="2:11" s="108" customFormat="1" ht="12">
      <c r="B51" s="282"/>
      <c r="C51" s="278"/>
      <c r="D51" s="244" t="s">
        <v>172</v>
      </c>
      <c r="E51" s="244"/>
      <c r="F51" s="250"/>
      <c r="G51" s="250"/>
      <c r="H51" s="250"/>
      <c r="I51" s="250"/>
      <c r="J51" s="250"/>
      <c r="K51" s="251"/>
    </row>
    <row r="52" spans="2:11" s="108" customFormat="1" ht="12">
      <c r="B52" s="280" t="s">
        <v>173</v>
      </c>
      <c r="C52" s="276" t="s">
        <v>87</v>
      </c>
      <c r="D52" s="237" t="s">
        <v>174</v>
      </c>
      <c r="E52" s="237"/>
      <c r="F52" s="238"/>
      <c r="G52" s="238"/>
      <c r="H52" s="238"/>
      <c r="I52" s="238"/>
      <c r="J52" s="238"/>
      <c r="K52" s="239"/>
    </row>
    <row r="53" spans="2:11" s="108" customFormat="1" ht="12">
      <c r="B53" s="281"/>
      <c r="C53" s="277"/>
      <c r="D53" s="240" t="s">
        <v>175</v>
      </c>
      <c r="E53" s="240"/>
      <c r="F53" s="248"/>
      <c r="G53" s="248"/>
      <c r="H53" s="248"/>
      <c r="I53" s="248"/>
      <c r="J53" s="248"/>
      <c r="K53" s="249"/>
    </row>
    <row r="54" spans="2:11" s="108" customFormat="1" ht="12">
      <c r="B54" s="281"/>
      <c r="C54" s="278"/>
      <c r="D54" s="244" t="s">
        <v>176</v>
      </c>
      <c r="E54" s="244"/>
      <c r="F54" s="250"/>
      <c r="G54" s="250"/>
      <c r="H54" s="250"/>
      <c r="I54" s="250"/>
      <c r="J54" s="250"/>
      <c r="K54" s="251"/>
    </row>
    <row r="55" spans="2:11" s="108" customFormat="1" ht="12">
      <c r="B55" s="281"/>
      <c r="C55" s="283" t="s">
        <v>177</v>
      </c>
      <c r="D55" s="237" t="s">
        <v>178</v>
      </c>
      <c r="E55" s="237"/>
      <c r="F55" s="238"/>
      <c r="G55" s="238"/>
      <c r="H55" s="238"/>
      <c r="I55" s="238"/>
      <c r="J55" s="238"/>
      <c r="K55" s="239"/>
    </row>
    <row r="56" spans="2:11" s="108" customFormat="1" ht="12">
      <c r="B56" s="281"/>
      <c r="C56" s="278"/>
      <c r="D56" s="244" t="s">
        <v>179</v>
      </c>
      <c r="E56" s="244"/>
      <c r="F56" s="250"/>
      <c r="G56" s="250"/>
      <c r="H56" s="250"/>
      <c r="I56" s="250"/>
      <c r="J56" s="250"/>
      <c r="K56" s="251"/>
    </row>
    <row r="57" spans="2:11" s="108" customFormat="1" ht="12">
      <c r="B57" s="281"/>
      <c r="C57" s="283" t="s">
        <v>180</v>
      </c>
      <c r="D57" s="237" t="s">
        <v>181</v>
      </c>
      <c r="E57" s="237"/>
      <c r="F57" s="238" t="s">
        <v>182</v>
      </c>
      <c r="G57" s="238"/>
      <c r="H57" s="238"/>
      <c r="I57" s="238"/>
      <c r="J57" s="238"/>
      <c r="K57" s="239"/>
    </row>
    <row r="58" spans="2:11" s="108" customFormat="1" ht="12">
      <c r="B58" s="281"/>
      <c r="C58" s="277"/>
      <c r="D58" s="240" t="s">
        <v>183</v>
      </c>
      <c r="E58" s="240"/>
      <c r="F58" s="248" t="s">
        <v>184</v>
      </c>
      <c r="G58" s="248"/>
      <c r="H58" s="248"/>
      <c r="I58" s="248"/>
      <c r="J58" s="248"/>
      <c r="K58" s="249"/>
    </row>
    <row r="59" spans="2:11" s="108" customFormat="1" ht="12">
      <c r="B59" s="281"/>
      <c r="C59" s="278"/>
      <c r="D59" s="244" t="s">
        <v>185</v>
      </c>
      <c r="E59" s="244"/>
      <c r="F59" s="250" t="s">
        <v>186</v>
      </c>
      <c r="G59" s="250"/>
      <c r="H59" s="250"/>
      <c r="I59" s="250"/>
      <c r="J59" s="250"/>
      <c r="K59" s="251"/>
    </row>
    <row r="60" spans="2:11" s="108" customFormat="1" ht="12">
      <c r="B60" s="281"/>
      <c r="C60" s="276" t="s">
        <v>187</v>
      </c>
      <c r="D60" s="237" t="s">
        <v>188</v>
      </c>
      <c r="E60" s="237"/>
      <c r="F60" s="238"/>
      <c r="G60" s="238"/>
      <c r="H60" s="238"/>
      <c r="I60" s="238"/>
      <c r="J60" s="238"/>
      <c r="K60" s="239"/>
    </row>
    <row r="61" spans="2:11" s="108" customFormat="1" ht="12">
      <c r="B61" s="281"/>
      <c r="C61" s="278"/>
      <c r="D61" s="244" t="s">
        <v>189</v>
      </c>
      <c r="E61" s="244"/>
      <c r="F61" s="250"/>
      <c r="G61" s="250"/>
      <c r="H61" s="250"/>
      <c r="I61" s="250"/>
      <c r="J61" s="250"/>
      <c r="K61" s="251"/>
    </row>
    <row r="62" spans="2:11" s="108" customFormat="1" ht="12">
      <c r="B62" s="281"/>
      <c r="C62" s="276" t="s">
        <v>13</v>
      </c>
      <c r="D62" s="237" t="s">
        <v>190</v>
      </c>
      <c r="E62" s="237"/>
      <c r="F62" s="238"/>
      <c r="G62" s="238"/>
      <c r="H62" s="238"/>
      <c r="I62" s="238"/>
      <c r="J62" s="238"/>
      <c r="K62" s="239"/>
    </row>
    <row r="63" spans="2:11" s="108" customFormat="1" ht="12">
      <c r="B63" s="281"/>
      <c r="C63" s="277"/>
      <c r="D63" s="240" t="s">
        <v>191</v>
      </c>
      <c r="E63" s="240"/>
      <c r="F63" s="248"/>
      <c r="G63" s="248"/>
      <c r="H63" s="248"/>
      <c r="I63" s="248"/>
      <c r="J63" s="248"/>
      <c r="K63" s="249"/>
    </row>
    <row r="64" spans="2:11" s="108" customFormat="1" ht="12">
      <c r="B64" s="281"/>
      <c r="C64" s="277"/>
      <c r="D64" s="240" t="s">
        <v>192</v>
      </c>
      <c r="E64" s="240"/>
      <c r="F64" s="248"/>
      <c r="G64" s="248"/>
      <c r="H64" s="248"/>
      <c r="I64" s="248"/>
      <c r="J64" s="248"/>
      <c r="K64" s="249"/>
    </row>
    <row r="65" spans="2:11" s="108" customFormat="1" ht="12">
      <c r="B65" s="281"/>
      <c r="C65" s="278"/>
      <c r="D65" s="244" t="s">
        <v>193</v>
      </c>
      <c r="E65" s="244"/>
      <c r="F65" s="250"/>
      <c r="G65" s="250"/>
      <c r="H65" s="250"/>
      <c r="I65" s="250"/>
      <c r="J65" s="250"/>
      <c r="K65" s="251"/>
    </row>
    <row r="66" spans="2:11" s="108" customFormat="1" ht="12">
      <c r="B66" s="281"/>
      <c r="C66" s="276" t="s">
        <v>88</v>
      </c>
      <c r="D66" s="237" t="s">
        <v>194</v>
      </c>
      <c r="E66" s="237"/>
      <c r="F66" s="238" t="s">
        <v>195</v>
      </c>
      <c r="G66" s="238"/>
      <c r="H66" s="238"/>
      <c r="I66" s="238"/>
      <c r="J66" s="238"/>
      <c r="K66" s="239"/>
    </row>
    <row r="67" spans="2:11" s="108" customFormat="1" ht="12">
      <c r="B67" s="281"/>
      <c r="C67" s="277"/>
      <c r="D67" s="240" t="s">
        <v>110</v>
      </c>
      <c r="E67" s="240"/>
      <c r="F67" s="248"/>
      <c r="G67" s="248"/>
      <c r="H67" s="248"/>
      <c r="I67" s="248"/>
      <c r="J67" s="248"/>
      <c r="K67" s="249"/>
    </row>
    <row r="68" spans="2:11" s="108" customFormat="1" ht="12">
      <c r="B68" s="281"/>
      <c r="C68" s="277"/>
      <c r="D68" s="240" t="s">
        <v>196</v>
      </c>
      <c r="E68" s="240"/>
      <c r="F68" s="248"/>
      <c r="G68" s="248"/>
      <c r="H68" s="248"/>
      <c r="I68" s="248"/>
      <c r="J68" s="248"/>
      <c r="K68" s="249"/>
    </row>
    <row r="69" spans="2:11" s="108" customFormat="1" ht="12">
      <c r="B69" s="281"/>
      <c r="C69" s="277"/>
      <c r="D69" s="240" t="s">
        <v>197</v>
      </c>
      <c r="E69" s="240"/>
      <c r="F69" s="248" t="s">
        <v>198</v>
      </c>
      <c r="G69" s="248"/>
      <c r="H69" s="248"/>
      <c r="I69" s="248"/>
      <c r="J69" s="248"/>
      <c r="K69" s="249"/>
    </row>
    <row r="70" spans="2:11" s="108" customFormat="1" ht="12">
      <c r="B70" s="281"/>
      <c r="C70" s="278"/>
      <c r="D70" s="244" t="s">
        <v>199</v>
      </c>
      <c r="E70" s="244"/>
      <c r="F70" s="250" t="s">
        <v>198</v>
      </c>
      <c r="G70" s="250"/>
      <c r="H70" s="250"/>
      <c r="I70" s="250"/>
      <c r="J70" s="250"/>
      <c r="K70" s="251"/>
    </row>
    <row r="71" spans="2:11" s="108" customFormat="1" ht="12">
      <c r="B71" s="281"/>
      <c r="C71" s="276" t="s">
        <v>21</v>
      </c>
      <c r="D71" s="279" t="s">
        <v>200</v>
      </c>
      <c r="E71" s="279"/>
      <c r="F71" s="238" t="s">
        <v>201</v>
      </c>
      <c r="G71" s="238"/>
      <c r="H71" s="238"/>
      <c r="I71" s="238"/>
      <c r="J71" s="238"/>
      <c r="K71" s="239"/>
    </row>
    <row r="72" spans="2:11" s="108" customFormat="1" ht="12">
      <c r="B72" s="281"/>
      <c r="C72" s="277"/>
      <c r="D72" s="240" t="s">
        <v>202</v>
      </c>
      <c r="E72" s="240"/>
      <c r="F72" s="248" t="s">
        <v>203</v>
      </c>
      <c r="G72" s="248"/>
      <c r="H72" s="248"/>
      <c r="I72" s="248"/>
      <c r="J72" s="248"/>
      <c r="K72" s="249"/>
    </row>
    <row r="73" spans="2:11" s="108" customFormat="1" ht="12">
      <c r="B73" s="281"/>
      <c r="C73" s="277"/>
      <c r="D73" s="240" t="s">
        <v>204</v>
      </c>
      <c r="E73" s="240"/>
      <c r="F73" s="248" t="s">
        <v>205</v>
      </c>
      <c r="G73" s="248"/>
      <c r="H73" s="248"/>
      <c r="I73" s="248"/>
      <c r="J73" s="248"/>
      <c r="K73" s="249"/>
    </row>
    <row r="74" spans="2:11" s="108" customFormat="1" ht="12">
      <c r="B74" s="282"/>
      <c r="C74" s="278"/>
      <c r="D74" s="244" t="s">
        <v>19</v>
      </c>
      <c r="E74" s="244"/>
      <c r="F74" s="250" t="s">
        <v>206</v>
      </c>
      <c r="G74" s="250"/>
      <c r="H74" s="250"/>
      <c r="I74" s="250"/>
      <c r="J74" s="250"/>
      <c r="K74" s="251"/>
    </row>
    <row r="75" spans="2:11" s="108" customFormat="1" ht="12">
      <c r="B75" s="231" t="s">
        <v>89</v>
      </c>
      <c r="C75" s="234" t="s">
        <v>89</v>
      </c>
      <c r="D75" s="237" t="s">
        <v>22</v>
      </c>
      <c r="E75" s="237"/>
      <c r="F75" s="238" t="s">
        <v>102</v>
      </c>
      <c r="G75" s="238"/>
      <c r="H75" s="238"/>
      <c r="I75" s="238"/>
      <c r="J75" s="238"/>
      <c r="K75" s="239"/>
    </row>
    <row r="76" spans="2:11" s="108" customFormat="1" ht="12">
      <c r="B76" s="232"/>
      <c r="C76" s="235"/>
      <c r="D76" s="240" t="s">
        <v>207</v>
      </c>
      <c r="E76" s="240"/>
      <c r="F76" s="248" t="s">
        <v>208</v>
      </c>
      <c r="G76" s="248"/>
      <c r="H76" s="248"/>
      <c r="I76" s="248"/>
      <c r="J76" s="248"/>
      <c r="K76" s="249"/>
    </row>
    <row r="77" spans="2:11" s="108" customFormat="1" ht="12">
      <c r="B77" s="232"/>
      <c r="C77" s="235"/>
      <c r="D77" s="240" t="s">
        <v>90</v>
      </c>
      <c r="E77" s="240"/>
      <c r="F77" s="248" t="s">
        <v>91</v>
      </c>
      <c r="G77" s="248"/>
      <c r="H77" s="248"/>
      <c r="I77" s="248"/>
      <c r="J77" s="248"/>
      <c r="K77" s="249"/>
    </row>
    <row r="78" spans="2:11" s="108" customFormat="1" ht="12">
      <c r="B78" s="232"/>
      <c r="C78" s="236"/>
      <c r="D78" s="244" t="s">
        <v>92</v>
      </c>
      <c r="E78" s="244"/>
      <c r="F78" s="250" t="s">
        <v>209</v>
      </c>
      <c r="G78" s="250"/>
      <c r="H78" s="250"/>
      <c r="I78" s="250"/>
      <c r="J78" s="250"/>
      <c r="K78" s="251"/>
    </row>
    <row r="79" spans="2:11" s="108" customFormat="1" ht="12">
      <c r="B79" s="232"/>
      <c r="C79" s="234" t="s">
        <v>210</v>
      </c>
      <c r="D79" s="237" t="s">
        <v>197</v>
      </c>
      <c r="E79" s="237"/>
      <c r="F79" s="252" t="s">
        <v>211</v>
      </c>
      <c r="G79" s="253"/>
      <c r="H79" s="253"/>
      <c r="I79" s="253"/>
      <c r="J79" s="253"/>
      <c r="K79" s="254"/>
    </row>
    <row r="80" spans="2:11" s="108" customFormat="1" ht="12">
      <c r="B80" s="232"/>
      <c r="C80" s="235"/>
      <c r="D80" s="240" t="s">
        <v>199</v>
      </c>
      <c r="E80" s="240"/>
      <c r="F80" s="241" t="s">
        <v>212</v>
      </c>
      <c r="G80" s="242"/>
      <c r="H80" s="242"/>
      <c r="I80" s="242"/>
      <c r="J80" s="242"/>
      <c r="K80" s="243"/>
    </row>
    <row r="81" spans="2:11" s="108" customFormat="1" ht="12">
      <c r="B81" s="232"/>
      <c r="C81" s="235"/>
      <c r="D81" s="240" t="s">
        <v>213</v>
      </c>
      <c r="E81" s="240"/>
      <c r="F81" s="241" t="s">
        <v>214</v>
      </c>
      <c r="G81" s="242"/>
      <c r="H81" s="242"/>
      <c r="I81" s="242"/>
      <c r="J81" s="242"/>
      <c r="K81" s="243"/>
    </row>
    <row r="82" spans="2:11" s="108" customFormat="1" ht="12">
      <c r="B82" s="232"/>
      <c r="C82" s="235"/>
      <c r="D82" s="240" t="s">
        <v>215</v>
      </c>
      <c r="E82" s="240"/>
      <c r="F82" s="241" t="s">
        <v>216</v>
      </c>
      <c r="G82" s="242"/>
      <c r="H82" s="242"/>
      <c r="I82" s="242"/>
      <c r="J82" s="242"/>
      <c r="K82" s="243"/>
    </row>
    <row r="83" spans="2:11" s="108" customFormat="1" ht="12">
      <c r="B83" s="232"/>
      <c r="C83" s="236"/>
      <c r="D83" s="244" t="s">
        <v>217</v>
      </c>
      <c r="E83" s="244"/>
      <c r="F83" s="245" t="s">
        <v>218</v>
      </c>
      <c r="G83" s="246"/>
      <c r="H83" s="246"/>
      <c r="I83" s="246"/>
      <c r="J83" s="246"/>
      <c r="K83" s="247"/>
    </row>
    <row r="84" spans="2:11" s="108" customFormat="1" ht="12">
      <c r="B84" s="232"/>
      <c r="C84" s="234" t="s">
        <v>219</v>
      </c>
      <c r="D84" s="271" t="s">
        <v>220</v>
      </c>
      <c r="E84" s="271"/>
      <c r="F84" s="272" t="s">
        <v>221</v>
      </c>
      <c r="G84" s="272"/>
      <c r="H84" s="272"/>
      <c r="I84" s="272"/>
      <c r="J84" s="272"/>
      <c r="K84" s="273"/>
    </row>
    <row r="85" spans="2:11" s="108" customFormat="1" ht="12">
      <c r="B85" s="232"/>
      <c r="C85" s="235"/>
      <c r="D85" s="240" t="s">
        <v>222</v>
      </c>
      <c r="E85" s="240"/>
      <c r="F85" s="248" t="s">
        <v>223</v>
      </c>
      <c r="G85" s="248"/>
      <c r="H85" s="248"/>
      <c r="I85" s="248"/>
      <c r="J85" s="248"/>
      <c r="K85" s="249"/>
    </row>
    <row r="86" spans="2:11" s="108" customFormat="1" ht="12">
      <c r="B86" s="232"/>
      <c r="C86" s="235"/>
      <c r="D86" s="240" t="s">
        <v>224</v>
      </c>
      <c r="E86" s="240"/>
      <c r="F86" s="248" t="s">
        <v>225</v>
      </c>
      <c r="G86" s="248"/>
      <c r="H86" s="248"/>
      <c r="I86" s="248"/>
      <c r="J86" s="248"/>
      <c r="K86" s="249"/>
    </row>
    <row r="87" spans="2:11" s="108" customFormat="1" ht="12">
      <c r="B87" s="233"/>
      <c r="C87" s="236"/>
      <c r="D87" s="244" t="s">
        <v>226</v>
      </c>
      <c r="E87" s="244"/>
      <c r="F87" s="250" t="s">
        <v>133</v>
      </c>
      <c r="G87" s="250"/>
      <c r="H87" s="250"/>
      <c r="I87" s="250"/>
      <c r="J87" s="250"/>
      <c r="K87" s="251"/>
    </row>
    <row r="88" spans="2:11" s="108" customFormat="1" ht="12">
      <c r="B88" s="274" t="s">
        <v>93</v>
      </c>
      <c r="C88" s="111" t="s">
        <v>94</v>
      </c>
      <c r="D88" s="275" t="s">
        <v>95</v>
      </c>
      <c r="E88" s="275"/>
      <c r="F88" s="229" t="s">
        <v>96</v>
      </c>
      <c r="G88" s="229"/>
      <c r="H88" s="229"/>
      <c r="I88" s="229"/>
      <c r="J88" s="229"/>
      <c r="K88" s="230"/>
    </row>
    <row r="89" spans="2:11" s="108" customFormat="1" ht="12">
      <c r="B89" s="274"/>
      <c r="C89" s="111" t="s">
        <v>97</v>
      </c>
      <c r="D89" s="275" t="s">
        <v>98</v>
      </c>
      <c r="E89" s="275"/>
      <c r="F89" s="229" t="s">
        <v>99</v>
      </c>
      <c r="G89" s="229"/>
      <c r="H89" s="229"/>
      <c r="I89" s="229"/>
      <c r="J89" s="229"/>
      <c r="K89" s="230"/>
    </row>
    <row r="90" spans="2:11" s="108" customFormat="1" ht="12.75" thickBot="1">
      <c r="B90" s="112" t="s">
        <v>100</v>
      </c>
      <c r="C90" s="113" t="s">
        <v>100</v>
      </c>
      <c r="D90" s="226" t="s">
        <v>100</v>
      </c>
      <c r="E90" s="226"/>
      <c r="F90" s="227" t="s">
        <v>227</v>
      </c>
      <c r="G90" s="227"/>
      <c r="H90" s="227"/>
      <c r="I90" s="227"/>
      <c r="J90" s="227"/>
      <c r="K90" s="228"/>
    </row>
    <row r="93" spans="2:11" ht="17.25" thickBot="1">
      <c r="B93" s="65" t="s">
        <v>228</v>
      </c>
    </row>
    <row r="94" spans="2:11">
      <c r="B94" s="255" t="s">
        <v>101</v>
      </c>
      <c r="C94" s="257" t="s">
        <v>229</v>
      </c>
      <c r="D94" s="259" t="s">
        <v>230</v>
      </c>
      <c r="E94" s="260"/>
      <c r="F94" s="261"/>
      <c r="G94" s="262" t="s">
        <v>231</v>
      </c>
      <c r="H94" s="263"/>
      <c r="I94" s="264"/>
    </row>
    <row r="95" spans="2:11">
      <c r="B95" s="256"/>
      <c r="C95" s="258"/>
      <c r="D95" s="265" t="s">
        <v>232</v>
      </c>
      <c r="E95" s="266"/>
      <c r="F95" s="267"/>
      <c r="G95" s="268" t="s">
        <v>233</v>
      </c>
      <c r="H95" s="269"/>
      <c r="I95" s="270"/>
    </row>
    <row r="96" spans="2:11">
      <c r="B96" s="66" t="s">
        <v>234</v>
      </c>
      <c r="C96" s="67" t="s">
        <v>235</v>
      </c>
      <c r="D96" s="214" t="s">
        <v>236</v>
      </c>
      <c r="E96" s="215"/>
      <c r="F96" s="216"/>
      <c r="G96" s="217" t="s">
        <v>236</v>
      </c>
      <c r="H96" s="218"/>
      <c r="I96" s="219"/>
    </row>
    <row r="97" spans="2:9">
      <c r="B97" s="66" t="s">
        <v>237</v>
      </c>
      <c r="C97" s="67" t="s">
        <v>238</v>
      </c>
      <c r="D97" s="214" t="s">
        <v>239</v>
      </c>
      <c r="E97" s="215"/>
      <c r="F97" s="216"/>
      <c r="G97" s="217" t="s">
        <v>239</v>
      </c>
      <c r="H97" s="218"/>
      <c r="I97" s="219"/>
    </row>
    <row r="98" spans="2:9">
      <c r="B98" s="66" t="s">
        <v>240</v>
      </c>
      <c r="C98" s="67" t="s">
        <v>241</v>
      </c>
      <c r="D98" s="214" t="s">
        <v>242</v>
      </c>
      <c r="E98" s="215"/>
      <c r="F98" s="216"/>
      <c r="G98" s="217" t="s">
        <v>242</v>
      </c>
      <c r="H98" s="218"/>
      <c r="I98" s="219"/>
    </row>
    <row r="99" spans="2:9">
      <c r="B99" s="66" t="s">
        <v>243</v>
      </c>
      <c r="C99" s="67" t="s">
        <v>244</v>
      </c>
      <c r="D99" s="214" t="s">
        <v>245</v>
      </c>
      <c r="E99" s="215"/>
      <c r="F99" s="216"/>
      <c r="G99" s="217" t="s">
        <v>245</v>
      </c>
      <c r="H99" s="218"/>
      <c r="I99" s="219"/>
    </row>
    <row r="100" spans="2:9" ht="17.25" thickBot="1">
      <c r="B100" s="68" t="s">
        <v>246</v>
      </c>
      <c r="C100" s="69" t="s">
        <v>247</v>
      </c>
      <c r="D100" s="220" t="s">
        <v>248</v>
      </c>
      <c r="E100" s="221"/>
      <c r="F100" s="222"/>
      <c r="G100" s="223" t="s">
        <v>248</v>
      </c>
      <c r="H100" s="224"/>
      <c r="I100" s="225"/>
    </row>
  </sheetData>
  <mergeCells count="201">
    <mergeCell ref="B2:G2"/>
    <mergeCell ref="F3:G3"/>
    <mergeCell ref="H4:K4"/>
    <mergeCell ref="H8:K8"/>
    <mergeCell ref="F9:K9"/>
    <mergeCell ref="B17:C17"/>
    <mergeCell ref="D17:K17"/>
    <mergeCell ref="B18:C18"/>
    <mergeCell ref="D18:K18"/>
    <mergeCell ref="B14:C14"/>
    <mergeCell ref="D14:K14"/>
    <mergeCell ref="B11:C11"/>
    <mergeCell ref="D11:K11"/>
    <mergeCell ref="B12:C12"/>
    <mergeCell ref="D12:K12"/>
    <mergeCell ref="B13:C13"/>
    <mergeCell ref="D13:K13"/>
    <mergeCell ref="H3:K3"/>
    <mergeCell ref="H7:K7"/>
    <mergeCell ref="B19:C19"/>
    <mergeCell ref="D19:K19"/>
    <mergeCell ref="B15:C15"/>
    <mergeCell ref="D15:K15"/>
    <mergeCell ref="B16:C16"/>
    <mergeCell ref="D16:K16"/>
    <mergeCell ref="D27:E27"/>
    <mergeCell ref="F27:K27"/>
    <mergeCell ref="B20:C20"/>
    <mergeCell ref="D20:K20"/>
    <mergeCell ref="B21:C21"/>
    <mergeCell ref="D21:K21"/>
    <mergeCell ref="B22:C22"/>
    <mergeCell ref="D22:K22"/>
    <mergeCell ref="D24:E24"/>
    <mergeCell ref="F24:K24"/>
    <mergeCell ref="D25:E25"/>
    <mergeCell ref="F25:K25"/>
    <mergeCell ref="B26:B37"/>
    <mergeCell ref="C26:C30"/>
    <mergeCell ref="D26:E26"/>
    <mergeCell ref="F26:K26"/>
    <mergeCell ref="C31:C33"/>
    <mergeCell ref="C34:C37"/>
    <mergeCell ref="D28:E28"/>
    <mergeCell ref="F28:K28"/>
    <mergeCell ref="D29:E29"/>
    <mergeCell ref="F29:K29"/>
    <mergeCell ref="D30:E30"/>
    <mergeCell ref="F30:K30"/>
    <mergeCell ref="D31:E31"/>
    <mergeCell ref="F31:K31"/>
    <mergeCell ref="F36:K36"/>
    <mergeCell ref="D32:E32"/>
    <mergeCell ref="F32:K32"/>
    <mergeCell ref="D33:E33"/>
    <mergeCell ref="F33:K33"/>
    <mergeCell ref="D34:E34"/>
    <mergeCell ref="D43:E43"/>
    <mergeCell ref="F43:K43"/>
    <mergeCell ref="F34:K34"/>
    <mergeCell ref="D35:E35"/>
    <mergeCell ref="F35:K35"/>
    <mergeCell ref="D36:E36"/>
    <mergeCell ref="D40:E40"/>
    <mergeCell ref="F40:K40"/>
    <mergeCell ref="D41:E41"/>
    <mergeCell ref="F41:K41"/>
    <mergeCell ref="D42:E42"/>
    <mergeCell ref="F42:K42"/>
    <mergeCell ref="D37:E37"/>
    <mergeCell ref="F37:K37"/>
    <mergeCell ref="D38:E38"/>
    <mergeCell ref="F38:K38"/>
    <mergeCell ref="D48:E48"/>
    <mergeCell ref="F48:K48"/>
    <mergeCell ref="D49:E49"/>
    <mergeCell ref="F49:K49"/>
    <mergeCell ref="D50:E50"/>
    <mergeCell ref="F50:K50"/>
    <mergeCell ref="F44:K44"/>
    <mergeCell ref="D45:E45"/>
    <mergeCell ref="F45:K45"/>
    <mergeCell ref="D46:E46"/>
    <mergeCell ref="F63:K63"/>
    <mergeCell ref="D64:E64"/>
    <mergeCell ref="F64:K64"/>
    <mergeCell ref="D65:E65"/>
    <mergeCell ref="D39:E39"/>
    <mergeCell ref="F39:K39"/>
    <mergeCell ref="D55:E55"/>
    <mergeCell ref="F55:K55"/>
    <mergeCell ref="D56:E56"/>
    <mergeCell ref="F56:K56"/>
    <mergeCell ref="D57:E57"/>
    <mergeCell ref="F57:K57"/>
    <mergeCell ref="F46:K46"/>
    <mergeCell ref="D47:E47"/>
    <mergeCell ref="F47:K47"/>
    <mergeCell ref="D51:E51"/>
    <mergeCell ref="F51:K51"/>
    <mergeCell ref="D52:E52"/>
    <mergeCell ref="F52:K52"/>
    <mergeCell ref="D53:E53"/>
    <mergeCell ref="F53:K53"/>
    <mergeCell ref="D54:E54"/>
    <mergeCell ref="F54:K54"/>
    <mergeCell ref="D44:E44"/>
    <mergeCell ref="C71:C74"/>
    <mergeCell ref="D71:E71"/>
    <mergeCell ref="F71:K71"/>
    <mergeCell ref="D72:E72"/>
    <mergeCell ref="B38:B51"/>
    <mergeCell ref="C38:C45"/>
    <mergeCell ref="C46:C51"/>
    <mergeCell ref="B52:B74"/>
    <mergeCell ref="C52:C54"/>
    <mergeCell ref="C55:C56"/>
    <mergeCell ref="C57:C59"/>
    <mergeCell ref="D58:E58"/>
    <mergeCell ref="F58:K58"/>
    <mergeCell ref="D59:E59"/>
    <mergeCell ref="F59:K59"/>
    <mergeCell ref="C60:C61"/>
    <mergeCell ref="D60:E60"/>
    <mergeCell ref="F60:K60"/>
    <mergeCell ref="D61:E61"/>
    <mergeCell ref="F61:K61"/>
    <mergeCell ref="C62:C65"/>
    <mergeCell ref="D62:E62"/>
    <mergeCell ref="F62:K62"/>
    <mergeCell ref="D63:E63"/>
    <mergeCell ref="F65:K65"/>
    <mergeCell ref="C66:C70"/>
    <mergeCell ref="D66:E66"/>
    <mergeCell ref="F66:K66"/>
    <mergeCell ref="D67:E67"/>
    <mergeCell ref="F67:K67"/>
    <mergeCell ref="D68:E68"/>
    <mergeCell ref="F68:K68"/>
    <mergeCell ref="D69:E69"/>
    <mergeCell ref="F69:K69"/>
    <mergeCell ref="D70:E70"/>
    <mergeCell ref="F70:K70"/>
    <mergeCell ref="F72:K72"/>
    <mergeCell ref="D73:E73"/>
    <mergeCell ref="F73:K73"/>
    <mergeCell ref="D74:E74"/>
    <mergeCell ref="F74:K74"/>
    <mergeCell ref="B94:B95"/>
    <mergeCell ref="C94:C95"/>
    <mergeCell ref="D94:F94"/>
    <mergeCell ref="G94:I94"/>
    <mergeCell ref="D95:F95"/>
    <mergeCell ref="G95:I95"/>
    <mergeCell ref="C84:C87"/>
    <mergeCell ref="D84:E84"/>
    <mergeCell ref="F84:K84"/>
    <mergeCell ref="D85:E85"/>
    <mergeCell ref="F85:K85"/>
    <mergeCell ref="D86:E86"/>
    <mergeCell ref="F86:K86"/>
    <mergeCell ref="D87:E87"/>
    <mergeCell ref="F87:K87"/>
    <mergeCell ref="B88:B89"/>
    <mergeCell ref="D88:E88"/>
    <mergeCell ref="F88:K88"/>
    <mergeCell ref="D89:E89"/>
    <mergeCell ref="F89:K89"/>
    <mergeCell ref="B75:B87"/>
    <mergeCell ref="C75:C78"/>
    <mergeCell ref="D75:E75"/>
    <mergeCell ref="F75:K75"/>
    <mergeCell ref="D76:E76"/>
    <mergeCell ref="D82:E82"/>
    <mergeCell ref="F82:K82"/>
    <mergeCell ref="D83:E83"/>
    <mergeCell ref="F83:K83"/>
    <mergeCell ref="F76:K76"/>
    <mergeCell ref="D77:E77"/>
    <mergeCell ref="F77:K77"/>
    <mergeCell ref="D78:E78"/>
    <mergeCell ref="F78:K78"/>
    <mergeCell ref="C79:C83"/>
    <mergeCell ref="D79:E79"/>
    <mergeCell ref="F79:K79"/>
    <mergeCell ref="D80:E80"/>
    <mergeCell ref="F80:K80"/>
    <mergeCell ref="D81:E81"/>
    <mergeCell ref="F81:K81"/>
    <mergeCell ref="D97:F97"/>
    <mergeCell ref="G97:I97"/>
    <mergeCell ref="D98:F98"/>
    <mergeCell ref="G98:I98"/>
    <mergeCell ref="D99:F99"/>
    <mergeCell ref="G99:I99"/>
    <mergeCell ref="D100:F100"/>
    <mergeCell ref="G100:I100"/>
    <mergeCell ref="D90:E90"/>
    <mergeCell ref="F90:K90"/>
    <mergeCell ref="D96:F96"/>
    <mergeCell ref="G96:I96"/>
  </mergeCells>
  <phoneticPr fontId="30" type="noConversion"/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개정이력</vt:lpstr>
      <vt:lpstr>첨부1.실행예산상세정산</vt:lpstr>
      <vt:lpstr>2-3.차량유지비청구서</vt:lpstr>
      <vt:lpstr>8.설명자료</vt:lpstr>
      <vt:lpstr>'2-3.차량유지비청구서'!Print_Area</vt:lpstr>
      <vt:lpstr>'8.설명자료'!Print_Area</vt:lpstr>
      <vt:lpstr>개정이력!Print_Area</vt:lpstr>
      <vt:lpstr>첨부1.실행예산상세정산!Print_Area</vt:lpstr>
      <vt:lpstr>개정이력!Print_Titles</vt:lpstr>
      <vt:lpstr>첨부1.실행예산상세정산!Print_Titles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kdg</dc:creator>
  <cp:lastModifiedBy>계범 전</cp:lastModifiedBy>
  <cp:lastPrinted>2015-04-02T13:33:08Z</cp:lastPrinted>
  <dcterms:created xsi:type="dcterms:W3CDTF">2012-10-29T06:04:55Z</dcterms:created>
  <dcterms:modified xsi:type="dcterms:W3CDTF">2026-05-06T10:53:34Z</dcterms:modified>
</cp:coreProperties>
</file>